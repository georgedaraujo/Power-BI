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Power BI\Aulas PBI 2026\#Curso PBI Atualizada\Exercício 2 - Relatório Financeiro\2-Layout Financeiro\"/>
    </mc:Choice>
  </mc:AlternateContent>
  <xr:revisionPtr revIDLastSave="0" documentId="13_ncr:1_{FF10222A-E6D0-40A8-8C10-824479BB02A4}" xr6:coauthVersionLast="47" xr6:coauthVersionMax="47" xr10:uidLastSave="{00000000-0000-0000-0000-000000000000}"/>
  <bookViews>
    <workbookView xWindow="-120" yWindow="-120" windowWidth="24240" windowHeight="13020" xr2:uid="{F88C7D3D-FD54-4678-B30A-B3FF2B656679}"/>
  </bookViews>
  <sheets>
    <sheet name="Planilha1" sheetId="1" r:id="rId1"/>
    <sheet name="Planilha2" sheetId="2" r:id="rId2"/>
  </sheets>
  <definedNames>
    <definedName name="_xlnm._FilterDatabase" localSheetId="0" hidden="1">Planilha1!$A$1:$H$909</definedName>
    <definedName name="SegmentaçãodeDados_Produto">#N/A</definedName>
    <definedName name="SegmentaçãodeDados_Segmento">#N/A</definedName>
  </definedNames>
  <calcPr calcId="191029"/>
  <pivotCaches>
    <pivotCache cacheId="6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0" i="1" l="1"/>
  <c r="G910" i="1"/>
  <c r="D910" i="1"/>
</calcChain>
</file>

<file path=xl/sharedStrings.xml><?xml version="1.0" encoding="utf-8"?>
<sst xmlns="http://schemas.openxmlformats.org/spreadsheetml/2006/main" count="2802" uniqueCount="49">
  <si>
    <t>Segmento</t>
  </si>
  <si>
    <t>Produto</t>
  </si>
  <si>
    <t>Descontos</t>
  </si>
  <si>
    <t>Data</t>
  </si>
  <si>
    <t>Santos</t>
  </si>
  <si>
    <t>Camiseta</t>
  </si>
  <si>
    <t>Jundiaí</t>
  </si>
  <si>
    <t>Sorocaba</t>
  </si>
  <si>
    <t>Regata</t>
  </si>
  <si>
    <t>Santo André</t>
  </si>
  <si>
    <t>Campinas</t>
  </si>
  <si>
    <t>Educação</t>
  </si>
  <si>
    <t>Boné</t>
  </si>
  <si>
    <t>Camisa</t>
  </si>
  <si>
    <t>Jaqueta</t>
  </si>
  <si>
    <t>Setor público</t>
  </si>
  <si>
    <t>Shorts</t>
  </si>
  <si>
    <t>Startup</t>
  </si>
  <si>
    <t>Unidades Vendidas</t>
  </si>
  <si>
    <t>Custo Unitário</t>
  </si>
  <si>
    <t>Total Geral</t>
  </si>
  <si>
    <t>Soma de Unidades Vendidas</t>
  </si>
  <si>
    <t>(Tudo)</t>
  </si>
  <si>
    <t>Máx. de Unidades Vendidas</t>
  </si>
  <si>
    <t>Ranking de Unidades Vendidas</t>
  </si>
  <si>
    <t>Verificar</t>
  </si>
  <si>
    <t>JAQUETA</t>
  </si>
  <si>
    <t>JaquetA</t>
  </si>
  <si>
    <t>Saúde e Bem-estar</t>
  </si>
  <si>
    <t>Meses (Data)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</si>
  <si>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</si>
  <si>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</si>
  <si>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</si>
  <si>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</si>
  <si>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</si>
  <si>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</si>
  <si>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</si>
  <si>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</si>
  <si>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</si>
  <si>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</si>
  <si>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</si>
  <si>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</si>
  <si>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Anos (Data)</t>
  </si>
  <si>
    <t>2024</t>
  </si>
  <si>
    <t>Tecnologia</t>
  </si>
  <si>
    <t>Cidade Filial</t>
  </si>
  <si>
    <t>Preço Unitário</t>
  </si>
  <si>
    <t>Total</t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</si>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</sst>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_-* #,##0_-;\-* #,##0_-;_-* &quot;-&quot;??_-;_-@_-"/>
    <numFmt numFmtId="166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0" xfId="0" applyFont="1" applyFill="1"/>
    <xf numFmtId="44" fontId="2" fillId="2" borderId="0" xfId="1" applyFont="1" applyFill="1" applyBorder="1" applyAlignment="1">
      <alignment horizontal="left"/>
    </xf>
    <xf numFmtId="14" fontId="2" fillId="2" borderId="0" xfId="1" applyNumberFormat="1" applyFont="1" applyFill="1" applyBorder="1"/>
    <xf numFmtId="0" fontId="0" fillId="0" borderId="0" xfId="0" pivotButton="1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/>
    <xf numFmtId="43" fontId="0" fillId="0" borderId="0" xfId="0" applyNumberFormat="1"/>
    <xf numFmtId="0" fontId="3" fillId="0" borderId="1" xfId="0" applyFont="1" applyBorder="1"/>
    <xf numFmtId="44" fontId="3" fillId="0" borderId="1" xfId="1" applyFont="1" applyFill="1" applyBorder="1" applyAlignment="1">
      <alignment horizontal="left"/>
    </xf>
    <xf numFmtId="14" fontId="3" fillId="0" borderId="1" xfId="1" applyNumberFormat="1" applyFont="1" applyFill="1" applyBorder="1"/>
    <xf numFmtId="0" fontId="0" fillId="0" borderId="1" xfId="0" applyBorder="1"/>
    <xf numFmtId="14" fontId="0" fillId="0" borderId="1" xfId="0" applyNumberFormat="1" applyBorder="1"/>
    <xf numFmtId="165" fontId="2" fillId="2" borderId="0" xfId="2" applyNumberFormat="1" applyFont="1" applyFill="1"/>
    <xf numFmtId="165" fontId="3" fillId="0" borderId="1" xfId="2" applyNumberFormat="1" applyFont="1" applyBorder="1"/>
    <xf numFmtId="165" fontId="0" fillId="0" borderId="1" xfId="2" applyNumberFormat="1" applyFont="1" applyBorder="1"/>
    <xf numFmtId="165" fontId="0" fillId="0" borderId="0" xfId="2" applyNumberFormat="1" applyFont="1"/>
    <xf numFmtId="166" fontId="2" fillId="2" borderId="0" xfId="1" applyNumberFormat="1" applyFont="1" applyFill="1" applyBorder="1"/>
    <xf numFmtId="166" fontId="3" fillId="0" borderId="1" xfId="1" applyNumberFormat="1" applyFont="1" applyFill="1" applyBorder="1"/>
    <xf numFmtId="166" fontId="0" fillId="0" borderId="1" xfId="1" applyNumberFormat="1" applyFont="1" applyBorder="1"/>
    <xf numFmtId="166" fontId="0" fillId="0" borderId="0" xfId="1" applyNumberFormat="1" applyFont="1"/>
    <xf numFmtId="44" fontId="3" fillId="0" borderId="0" xfId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NumberFormat="1" applyFill="1" applyAlignment="1">
      <alignment horizontal="center"/>
    </xf>
  </cellXfs>
  <cellStyles count="3">
    <cellStyle name="Moeda" xfId="1" builtinId="4"/>
    <cellStyle name="Normal" xfId="0" builtinId="0"/>
    <cellStyle name="Vírgula" xfId="2" builtinId="3"/>
  </cellStyles>
  <dxfs count="52"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180975</xdr:colOff>
      <xdr:row>0</xdr:row>
      <xdr:rowOff>171450</xdr:rowOff>
    </xdr:from>
    <xdr:to>
      <xdr:col>5</xdr:col>
      <xdr:colOff>619125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to">
              <a:extLst>
                <a:ext uri="{FF2B5EF4-FFF2-40B4-BE49-F238E27FC236}">
                  <a16:creationId xmlns:a16="http://schemas.microsoft.com/office/drawing/2014/main" id="{D196922B-B384-4AC1-BE59-A43644B064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34150" y="171450"/>
              <a:ext cx="1828800" cy="2333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990600</xdr:colOff>
      <xdr:row>0</xdr:row>
      <xdr:rowOff>142875</xdr:rowOff>
    </xdr:from>
    <xdr:to>
      <xdr:col>4</xdr:col>
      <xdr:colOff>38100</xdr:colOff>
      <xdr:row>11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egmento">
              <a:extLst>
                <a:ext uri="{FF2B5EF4-FFF2-40B4-BE49-F238E27FC236}">
                  <a16:creationId xmlns:a16="http://schemas.microsoft.com/office/drawing/2014/main" id="{3CD2D416-F639-C14A-7460-E45E466347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2475" y="142875"/>
              <a:ext cx="1828800" cy="2009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strutor" refreshedDate="46240.712203124996" createdVersion="6" refreshedVersion="8" minRefreshableVersion="3" recordCount="908" xr:uid="{788954A8-D7D0-40EA-A52D-FA42EDC1CFED}">
  <cacheSource type="worksheet">
    <worksheetSource ref="A1:H909" sheet="Planilha1"/>
  </cacheSource>
  <cacheFields count="11">
    <cacheField name="Segmento" numFmtId="0">
      <sharedItems containsBlank="1" count="9">
        <s v="Setor público"/>
        <s v="Tecnologia"/>
        <s v="Saúde e Bem-estar"/>
        <s v="Educação"/>
        <s v="Startup"/>
        <m/>
        <s v="Negócios Digitais/Tecnologia" u="1"/>
        <s v="Bens de Consumo" u="1"/>
        <s v="Pequenos negócios" u="1"/>
      </sharedItems>
    </cacheField>
    <cacheField name="Cidade Filial" numFmtId="0">
      <sharedItems/>
    </cacheField>
    <cacheField name="Produto" numFmtId="44">
      <sharedItems containsBlank="1" count="7">
        <s v="Boné"/>
        <s v="Camisa"/>
        <s v="JAQUETA"/>
        <s v="Regata"/>
        <s v="Camiseta"/>
        <m/>
        <s v="Shorts"/>
      </sharedItems>
    </cacheField>
    <cacheField name="Custo Unitário" numFmtId="166">
      <sharedItems containsSemiMixedTypes="0" containsString="0" containsNumber="1" minValue="3" maxValue="260"/>
    </cacheField>
    <cacheField name="Preço Unitário" numFmtId="166">
      <sharedItems containsSemiMixedTypes="0" containsString="0" containsNumber="1" containsInteger="1" minValue="7" maxValue="350"/>
    </cacheField>
    <cacheField name="Unidades Vendidas" numFmtId="165">
      <sharedItems containsSemiMixedTypes="0" containsString="0" containsNumber="1" containsInteger="1" minValue="20" maxValue="15380"/>
    </cacheField>
    <cacheField name="Descontos" numFmtId="166">
      <sharedItems containsString="0" containsBlank="1" containsNumber="1" minValue="0" maxValue="57030"/>
    </cacheField>
    <cacheField name="Data" numFmtId="14">
      <sharedItems containsSemiMixedTypes="0" containsNonDate="0" containsDate="1" containsString="0" minDate="2022-01-01T00:00:00" maxDate="2025-12-02T00:00:00" count="70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2-01-01T00:00:00" u="1"/>
        <d v="2022-02-01T00:00:00" u="1"/>
        <d v="2022-03-01T00:00:00" u="1"/>
        <d v="2022-04-01T00:00:00" u="1"/>
        <d v="2022-05-01T00:00:00" u="1"/>
        <d v="2022-06-01T00:00:00" u="1"/>
        <d v="2022-07-01T00:00:00" u="1"/>
        <d v="2022-08-05T00:00:00" u="1"/>
        <d v="2022-08-08T00:00:00" u="1"/>
        <d v="2022-09-01T00:00:00" u="1"/>
        <d v="2022-10-01T00:00:00" u="1"/>
        <d v="2022-11-01T00:00:00" u="1"/>
        <d v="2022-12-01T00:00:00" u="1"/>
        <d v="2023-01-01T00:00:00" u="1"/>
        <d v="2023-02-01T00:00:00" u="1"/>
        <d v="2023-03-01T00:00:00" u="1"/>
        <d v="2023-04-01T00:00:00" u="1"/>
        <d v="2023-06-01T00:00:00" u="1"/>
        <d v="2023-07-01T00:00:00" u="1"/>
        <d v="2023-08-01T00:00:00" u="1"/>
        <d v="2023-09-01T00:00:00" u="1"/>
        <d v="2023-10-01T00:00:00" u="1"/>
        <d v="2023-12-01T00:00:00" u="1"/>
        <d v="2023-05-01T00:00:00" u="1"/>
        <d v="2023-11-01T00:00:00" u="1"/>
        <d v="2022-08-02T00:00:00" u="1"/>
        <d v="2022-08-07T00:00:00" u="1"/>
        <d v="2022-08-10T00:00:00" u="1"/>
        <d v="2022-08-11T00:00:00" u="1"/>
        <d v="2022-08-12T00:00:00" u="1"/>
        <d v="2022-08-09T00:00:00" u="1"/>
        <d v="2022-08-04T00:00:00" u="1"/>
        <d v="2022-08-06T00:00:00" u="1"/>
        <d v="2022-08-03T00:00:00" u="1"/>
        <d v="2022-08-01T00:00:00" u="1"/>
      </sharedItems>
      <fieldGroup par="10"/>
    </cacheField>
    <cacheField name="Meses (Data)" numFmtId="0" databaseField="0">
      <fieldGroup base="7">
        <rangePr groupBy="months" startDate="2024-01-01T00:00:00" endDate="2025-12-02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25"/>
        </groupItems>
      </fieldGroup>
    </cacheField>
    <cacheField name="Trimestres (Data)" numFmtId="0" databaseField="0">
      <fieldGroup base="7">
        <rangePr groupBy="quarters" startDate="2024-01-01T00:00:00" endDate="2025-12-02T00:00:00"/>
        <groupItems count="6">
          <s v="&lt;01/01/2024"/>
          <s v="Trim1"/>
          <s v="Trim2"/>
          <s v="Trim3"/>
          <s v="Trim4"/>
          <s v="&gt;02/12/2025"/>
        </groupItems>
      </fieldGroup>
    </cacheField>
    <cacheField name="Anos (Data)" numFmtId="0" databaseField="0">
      <fieldGroup base="7">
        <rangePr groupBy="years" startDate="2024-01-01T00:00:00" endDate="2025-12-02T00:00:00"/>
        <groupItems count="4">
          <s v="&lt;01/01/2024"/>
          <s v="2024"/>
          <s v="2025"/>
          <s v="&gt;02/12/2025"/>
        </groupItems>
      </fieldGroup>
    </cacheField>
  </cacheFields>
  <extLst>
    <ext xmlns:x14="http://schemas.microsoft.com/office/spreadsheetml/2009/9/main" uri="{725AE2AE-9491-48be-B2B4-4EB974FC3084}">
      <x14:pivotCacheDefinition pivotCacheId="17957151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8">
  <r>
    <x v="0"/>
    <s v="Jundiaí"/>
    <x v="0"/>
    <n v="5"/>
    <n v="7"/>
    <n v="1159"/>
    <n v="405.65000000000003"/>
    <x v="0"/>
  </r>
  <r>
    <x v="1"/>
    <s v="Campinas"/>
    <x v="0"/>
    <n v="10"/>
    <n v="15"/>
    <n v="1743"/>
    <n v="1307.25"/>
    <x v="0"/>
  </r>
  <r>
    <x v="2"/>
    <s v="Jundiaí"/>
    <x v="1"/>
    <n v="10"/>
    <n v="20"/>
    <n v="442"/>
    <n v="442"/>
    <x v="0"/>
  </r>
  <r>
    <x v="3"/>
    <s v="Campinas"/>
    <x v="2"/>
    <n v="120"/>
    <n v="125"/>
    <n v="345"/>
    <m/>
    <x v="0"/>
  </r>
  <r>
    <x v="4"/>
    <s v="Santo André"/>
    <x v="3"/>
    <n v="260"/>
    <n v="350"/>
    <n v="349"/>
    <n v="0"/>
    <x v="0"/>
  </r>
  <r>
    <x v="1"/>
    <s v="Jundiaí"/>
    <x v="4"/>
    <n v="10"/>
    <n v="15"/>
    <n v="660"/>
    <m/>
    <x v="1"/>
  </r>
  <r>
    <x v="0"/>
    <s v="Jundiaí"/>
    <x v="4"/>
    <n v="260"/>
    <n v="350"/>
    <n v="547"/>
    <n v="9572.5"/>
    <x v="1"/>
  </r>
  <r>
    <x v="2"/>
    <s v="Campinas"/>
    <x v="2"/>
    <n v="5"/>
    <n v="7"/>
    <n v="2409"/>
    <n v="843.15000000000009"/>
    <x v="1"/>
  </r>
  <r>
    <x v="3"/>
    <s v="Jundiaí"/>
    <x v="2"/>
    <n v="120"/>
    <n v="125"/>
    <n v="2500"/>
    <n v="15625"/>
    <x v="1"/>
  </r>
  <r>
    <x v="2"/>
    <s v="Jundiaí"/>
    <x v="2"/>
    <n v="250"/>
    <n v="300"/>
    <n v="1123"/>
    <n v="16845"/>
    <x v="1"/>
  </r>
  <r>
    <x v="4"/>
    <s v="Santo André"/>
    <x v="2"/>
    <n v="250"/>
    <n v="300"/>
    <n v="2498"/>
    <m/>
    <x v="1"/>
  </r>
  <r>
    <x v="2"/>
    <s v="Campinas"/>
    <x v="2"/>
    <n v="260"/>
    <n v="350"/>
    <n v="1797"/>
    <n v="31447.5"/>
    <x v="1"/>
  </r>
  <r>
    <x v="1"/>
    <s v="Campinas"/>
    <x v="3"/>
    <n v="10"/>
    <n v="15"/>
    <n v="2470"/>
    <m/>
    <x v="1"/>
  </r>
  <r>
    <x v="2"/>
    <s v="Campinas"/>
    <x v="5"/>
    <n v="260"/>
    <n v="350"/>
    <n v="623"/>
    <m/>
    <x v="1"/>
  </r>
  <r>
    <x v="5"/>
    <s v="Campinas"/>
    <x v="0"/>
    <n v="3"/>
    <n v="12"/>
    <n v="2761"/>
    <n v="1656.6000000000001"/>
    <x v="2"/>
  </r>
  <r>
    <x v="4"/>
    <s v="Santo André"/>
    <x v="0"/>
    <n v="3"/>
    <n v="12"/>
    <n v="1989"/>
    <n v="119.34"/>
    <x v="2"/>
  </r>
  <r>
    <x v="2"/>
    <s v="Santos"/>
    <x v="1"/>
    <n v="10"/>
    <n v="20"/>
    <n v="1834"/>
    <n v="1834"/>
    <x v="2"/>
  </r>
  <r>
    <x v="0"/>
    <s v="Santo André"/>
    <x v="4"/>
    <n v="4.9000000000000004"/>
    <n v="7"/>
    <n v="2022"/>
    <n v="140.91"/>
    <x v="2"/>
  </r>
  <r>
    <x v="4"/>
    <s v="Santo André"/>
    <x v="4"/>
    <n v="5"/>
    <n v="7"/>
    <n v="15380"/>
    <n v="0"/>
    <x v="2"/>
  </r>
  <r>
    <x v="4"/>
    <s v="Santo André"/>
    <x v="4"/>
    <n v="10"/>
    <n v="20"/>
    <n v="11370"/>
    <n v="736"/>
    <x v="2"/>
  </r>
  <r>
    <x v="2"/>
    <s v="Sorocaba"/>
    <x v="4"/>
    <n v="10"/>
    <n v="20"/>
    <n v="2805"/>
    <n v="2805"/>
    <x v="2"/>
  </r>
  <r>
    <x v="3"/>
    <s v="Jundiaí"/>
    <x v="2"/>
    <n v="120"/>
    <n v="125"/>
    <n v="809"/>
    <n v="0"/>
    <x v="2"/>
  </r>
  <r>
    <x v="2"/>
    <s v="Sorocaba"/>
    <x v="2"/>
    <n v="250"/>
    <n v="300"/>
    <n v="322"/>
    <n v="4830"/>
    <x v="2"/>
  </r>
  <r>
    <x v="2"/>
    <s v="Santos"/>
    <x v="2"/>
    <n v="260"/>
    <n v="350"/>
    <n v="720"/>
    <n v="0"/>
    <x v="2"/>
  </r>
  <r>
    <x v="2"/>
    <s v="Santos"/>
    <x v="3"/>
    <n v="5"/>
    <n v="7"/>
    <n v="1760"/>
    <n v="616"/>
    <x v="2"/>
  </r>
  <r>
    <x v="2"/>
    <s v="Sorocaba"/>
    <x v="3"/>
    <n v="5"/>
    <n v="7"/>
    <n v="1031"/>
    <n v="360.85"/>
    <x v="2"/>
  </r>
  <r>
    <x v="1"/>
    <s v="Campinas"/>
    <x v="3"/>
    <n v="10"/>
    <n v="15"/>
    <n v="1743"/>
    <n v="1307.25"/>
    <x v="2"/>
  </r>
  <r>
    <x v="2"/>
    <s v="Santos"/>
    <x v="3"/>
    <n v="250"/>
    <n v="300"/>
    <n v="788"/>
    <n v="0"/>
    <x v="2"/>
  </r>
  <r>
    <x v="4"/>
    <s v="Jundiaí"/>
    <x v="6"/>
    <n v="3"/>
    <n v="12"/>
    <n v="2215"/>
    <n v="1329"/>
    <x v="2"/>
  </r>
  <r>
    <x v="4"/>
    <s v="Santos"/>
    <x v="6"/>
    <n v="3"/>
    <n v="12"/>
    <n v="1005"/>
    <n v="603"/>
    <x v="2"/>
  </r>
  <r>
    <x v="4"/>
    <s v="Sorocaba"/>
    <x v="6"/>
    <n v="3"/>
    <n v="12"/>
    <n v="2234"/>
    <n v="1340.4"/>
    <x v="2"/>
  </r>
  <r>
    <x v="2"/>
    <s v="Sorocaba"/>
    <x v="6"/>
    <n v="260"/>
    <n v="350"/>
    <n v="1527"/>
    <n v="0"/>
    <x v="2"/>
  </r>
  <r>
    <x v="0"/>
    <s v="Santo André"/>
    <x v="1"/>
    <n v="5"/>
    <n v="7"/>
    <n v="263"/>
    <n v="55.23"/>
    <x v="3"/>
  </r>
  <r>
    <x v="2"/>
    <s v="Jundiaí"/>
    <x v="1"/>
    <n v="250"/>
    <n v="300"/>
    <n v="100"/>
    <n v="1500"/>
    <x v="3"/>
  </r>
  <r>
    <x v="3"/>
    <s v="Campinas"/>
    <x v="4"/>
    <n v="120"/>
    <n v="125"/>
    <n v="345"/>
    <n v="0"/>
    <x v="3"/>
  </r>
  <r>
    <x v="3"/>
    <s v="Jundiaí"/>
    <x v="4"/>
    <n v="120"/>
    <n v="125"/>
    <n v="809"/>
    <n v="0"/>
    <x v="3"/>
  </r>
  <r>
    <x v="3"/>
    <s v="Santo André"/>
    <x v="4"/>
    <n v="120"/>
    <n v="125"/>
    <n v="663"/>
    <n v="4143.75"/>
    <x v="3"/>
  </r>
  <r>
    <x v="3"/>
    <s v="Santos"/>
    <x v="4"/>
    <n v="120"/>
    <n v="125"/>
    <n v="2145"/>
    <n v="13406.25"/>
    <x v="3"/>
  </r>
  <r>
    <x v="3"/>
    <s v="Sorocaba"/>
    <x v="4"/>
    <n v="120"/>
    <n v="125"/>
    <n v="704"/>
    <n v="4400"/>
    <x v="3"/>
  </r>
  <r>
    <x v="2"/>
    <s v="Campinas"/>
    <x v="4"/>
    <n v="250"/>
    <n v="300"/>
    <n v="269"/>
    <n v="4035"/>
    <x v="3"/>
  </r>
  <r>
    <x v="1"/>
    <s v="Jundiaí"/>
    <x v="2"/>
    <n v="10"/>
    <n v="15"/>
    <n v="1945"/>
    <n v="1458.75"/>
    <x v="3"/>
  </r>
  <r>
    <x v="3"/>
    <s v="Santo André"/>
    <x v="2"/>
    <n v="120"/>
    <n v="125"/>
    <n v="663"/>
    <n v="4143.75"/>
    <x v="3"/>
  </r>
  <r>
    <x v="1"/>
    <s v="Santos"/>
    <x v="3"/>
    <n v="10"/>
    <n v="15"/>
    <n v="1514"/>
    <n v="1135.5"/>
    <x v="3"/>
  </r>
  <r>
    <x v="1"/>
    <s v="Sorocaba"/>
    <x v="3"/>
    <n v="10"/>
    <n v="15"/>
    <n v="2167"/>
    <n v="1625.25"/>
    <x v="3"/>
  </r>
  <r>
    <x v="3"/>
    <s v="Santos"/>
    <x v="3"/>
    <n v="120"/>
    <n v="125"/>
    <n v="2145"/>
    <n v="13406.25"/>
    <x v="3"/>
  </r>
  <r>
    <x v="3"/>
    <s v="Sorocaba"/>
    <x v="3"/>
    <n v="120"/>
    <n v="125"/>
    <n v="704"/>
    <n v="4400"/>
    <x v="3"/>
  </r>
  <r>
    <x v="4"/>
    <s v="Santo André"/>
    <x v="3"/>
    <n v="250"/>
    <n v="300"/>
    <n v="12294"/>
    <n v="34410"/>
    <x v="3"/>
  </r>
  <r>
    <x v="1"/>
    <s v="Jundiaí"/>
    <x v="6"/>
    <n v="10"/>
    <n v="15"/>
    <n v="1945"/>
    <n v="1458.75"/>
    <x v="3"/>
  </r>
  <r>
    <x v="1"/>
    <s v="Santos"/>
    <x v="6"/>
    <n v="10"/>
    <n v="15"/>
    <n v="1514"/>
    <n v="1135.5"/>
    <x v="3"/>
  </r>
  <r>
    <x v="1"/>
    <s v="Sorocaba"/>
    <x v="6"/>
    <n v="10"/>
    <n v="15"/>
    <n v="2167"/>
    <n v="1625.25"/>
    <x v="3"/>
  </r>
  <r>
    <x v="2"/>
    <s v="Campinas"/>
    <x v="6"/>
    <n v="250"/>
    <n v="300"/>
    <n v="120"/>
    <n v="0"/>
    <x v="3"/>
  </r>
  <r>
    <x v="2"/>
    <s v="Jundiaí"/>
    <x v="6"/>
    <n v="250"/>
    <n v="300"/>
    <n v="150"/>
    <n v="0"/>
    <x v="3"/>
  </r>
  <r>
    <x v="0"/>
    <s v="Campinas"/>
    <x v="0"/>
    <n v="5"/>
    <n v="7"/>
    <n v="300"/>
    <n v="105"/>
    <x v="4"/>
  </r>
  <r>
    <x v="1"/>
    <s v="Santo André"/>
    <x v="0"/>
    <n v="10"/>
    <n v="15"/>
    <n v="671"/>
    <n v="503.25"/>
    <x v="4"/>
  </r>
  <r>
    <x v="0"/>
    <s v="Campinas"/>
    <x v="0"/>
    <n v="260"/>
    <n v="350"/>
    <n v="1228"/>
    <n v="21490"/>
    <x v="4"/>
  </r>
  <r>
    <x v="2"/>
    <s v="Santos"/>
    <x v="1"/>
    <n v="250"/>
    <n v="300"/>
    <n v="494"/>
    <n v="7410"/>
    <x v="4"/>
  </r>
  <r>
    <x v="4"/>
    <s v="Santo André"/>
    <x v="4"/>
    <n v="250"/>
    <n v="300"/>
    <n v="2294"/>
    <n v="0"/>
    <x v="4"/>
  </r>
  <r>
    <x v="2"/>
    <s v="Sorocaba"/>
    <x v="4"/>
    <n v="250"/>
    <n v="300"/>
    <n v="1221"/>
    <n v="18315"/>
    <x v="4"/>
  </r>
  <r>
    <x v="0"/>
    <s v="Campinas"/>
    <x v="2"/>
    <n v="5"/>
    <n v="7"/>
    <n v="900"/>
    <n v="315"/>
    <x v="4"/>
  </r>
  <r>
    <x v="0"/>
    <s v="Jundiaí"/>
    <x v="2"/>
    <n v="10"/>
    <n v="20"/>
    <n v="992"/>
    <n v="992"/>
    <x v="4"/>
  </r>
  <r>
    <x v="3"/>
    <s v="Jundiaí"/>
    <x v="2"/>
    <n v="120"/>
    <n v="125"/>
    <n v="809"/>
    <n v="0"/>
    <x v="4"/>
  </r>
  <r>
    <x v="0"/>
    <s v="Campinas"/>
    <x v="3"/>
    <n v="10"/>
    <n v="20"/>
    <n v="1389"/>
    <n v="1389"/>
    <x v="4"/>
  </r>
  <r>
    <x v="0"/>
    <s v="Campinas"/>
    <x v="3"/>
    <n v="260"/>
    <n v="350"/>
    <n v="1228"/>
    <n v="21490"/>
    <x v="4"/>
  </r>
  <r>
    <x v="0"/>
    <s v="Campinas"/>
    <x v="6"/>
    <n v="10"/>
    <n v="20"/>
    <n v="1389"/>
    <n v="1389"/>
    <x v="4"/>
  </r>
  <r>
    <x v="2"/>
    <s v="Santos"/>
    <x v="6"/>
    <n v="250"/>
    <n v="300"/>
    <n v="494"/>
    <n v="7410"/>
    <x v="4"/>
  </r>
  <r>
    <x v="2"/>
    <s v="Sorocaba"/>
    <x v="6"/>
    <n v="250"/>
    <n v="300"/>
    <n v="1221"/>
    <n v="18315"/>
    <x v="4"/>
  </r>
  <r>
    <x v="0"/>
    <s v="Jundiaí"/>
    <x v="0"/>
    <n v="5"/>
    <n v="7"/>
    <n v="1159"/>
    <n v="405.65000000000003"/>
    <x v="5"/>
  </r>
  <r>
    <x v="2"/>
    <s v="Santos"/>
    <x v="0"/>
    <n v="5"/>
    <n v="7"/>
    <n v="1727"/>
    <n v="604.45000000000005"/>
    <x v="5"/>
  </r>
  <r>
    <x v="4"/>
    <s v="Sorocaba"/>
    <x v="0"/>
    <n v="5"/>
    <n v="7"/>
    <n v="1403"/>
    <n v="491.05"/>
    <x v="5"/>
  </r>
  <r>
    <x v="1"/>
    <s v="Campinas"/>
    <x v="0"/>
    <n v="10"/>
    <n v="15"/>
    <n v="1560"/>
    <n v="1170"/>
    <x v="5"/>
  </r>
  <r>
    <x v="1"/>
    <s v="Jundiaí"/>
    <x v="0"/>
    <n v="10"/>
    <n v="15"/>
    <n v="970"/>
    <n v="727.5"/>
    <x v="5"/>
  </r>
  <r>
    <x v="1"/>
    <s v="Santo André"/>
    <x v="0"/>
    <n v="10"/>
    <n v="15"/>
    <n v="2548"/>
    <n v="1911"/>
    <x v="5"/>
  </r>
  <r>
    <x v="1"/>
    <s v="Santos"/>
    <x v="0"/>
    <n v="10"/>
    <n v="15"/>
    <n v="1870"/>
    <n v="1402.5"/>
    <x v="5"/>
  </r>
  <r>
    <x v="1"/>
    <s v="Sorocaba"/>
    <x v="0"/>
    <n v="10"/>
    <n v="15"/>
    <n v="321"/>
    <n v="24.074999999999999"/>
    <x v="5"/>
  </r>
  <r>
    <x v="0"/>
    <s v="Jundiaí"/>
    <x v="0"/>
    <n v="260"/>
    <n v="350"/>
    <n v="966"/>
    <n v="16905"/>
    <x v="5"/>
  </r>
  <r>
    <x v="0"/>
    <s v="Santo André"/>
    <x v="0"/>
    <n v="260"/>
    <n v="350"/>
    <n v="727"/>
    <n v="12722.5"/>
    <x v="5"/>
  </r>
  <r>
    <x v="0"/>
    <s v="Santos"/>
    <x v="0"/>
    <n v="260"/>
    <n v="350"/>
    <n v="344"/>
    <n v="6020"/>
    <x v="5"/>
  </r>
  <r>
    <x v="0"/>
    <s v="Sorocaba"/>
    <x v="0"/>
    <n v="260"/>
    <n v="350"/>
    <n v="2076"/>
    <n v="36330"/>
    <x v="5"/>
  </r>
  <r>
    <x v="4"/>
    <s v="Campinas"/>
    <x v="1"/>
    <n v="3"/>
    <n v="12"/>
    <n v="2299"/>
    <n v="1379.4"/>
    <x v="5"/>
  </r>
  <r>
    <x v="4"/>
    <s v="Jundiaí"/>
    <x v="1"/>
    <n v="3"/>
    <n v="12"/>
    <n v="766"/>
    <n v="45.96"/>
    <x v="5"/>
  </r>
  <r>
    <x v="4"/>
    <s v="Santo André"/>
    <x v="1"/>
    <n v="3"/>
    <n v="12"/>
    <n v="386"/>
    <n v="231.60000000000002"/>
    <x v="5"/>
  </r>
  <r>
    <x v="4"/>
    <s v="Santos"/>
    <x v="1"/>
    <n v="3"/>
    <n v="12"/>
    <n v="367"/>
    <n v="220.20000000000002"/>
    <x v="5"/>
  </r>
  <r>
    <x v="4"/>
    <s v="Sorocaba"/>
    <x v="1"/>
    <n v="3"/>
    <n v="12"/>
    <n v="1198"/>
    <n v="718.80000000000007"/>
    <x v="5"/>
  </r>
  <r>
    <x v="0"/>
    <s v="Santo André"/>
    <x v="1"/>
    <n v="5"/>
    <n v="7"/>
    <n v="996"/>
    <n v="0"/>
    <x v="5"/>
  </r>
  <r>
    <x v="4"/>
    <s v="Santo André"/>
    <x v="4"/>
    <n v="3"/>
    <n v="12"/>
    <n v="386"/>
    <n v="231.60000000000002"/>
    <x v="5"/>
  </r>
  <r>
    <x v="0"/>
    <s v="Santo André"/>
    <x v="4"/>
    <n v="10"/>
    <n v="20"/>
    <n v="250"/>
    <n v="0"/>
    <x v="5"/>
  </r>
  <r>
    <x v="2"/>
    <s v="Campinas"/>
    <x v="4"/>
    <n v="250"/>
    <n v="300"/>
    <n v="2536"/>
    <n v="38040"/>
    <x v="5"/>
  </r>
  <r>
    <x v="0"/>
    <s v="Jundiaí"/>
    <x v="4"/>
    <n v="260"/>
    <n v="350"/>
    <n v="547"/>
    <n v="9572.5"/>
    <x v="5"/>
  </r>
  <r>
    <x v="0"/>
    <s v="Santo André"/>
    <x v="4"/>
    <n v="260"/>
    <n v="350"/>
    <n v="727"/>
    <n v="12722.5"/>
    <x v="5"/>
  </r>
  <r>
    <x v="0"/>
    <s v="Santos"/>
    <x v="4"/>
    <n v="260"/>
    <n v="350"/>
    <n v="344"/>
    <n v="6020"/>
    <x v="5"/>
  </r>
  <r>
    <x v="0"/>
    <s v="Sorocaba"/>
    <x v="4"/>
    <n v="260"/>
    <n v="350"/>
    <n v="2076"/>
    <n v="36330"/>
    <x v="5"/>
  </r>
  <r>
    <x v="4"/>
    <s v="Jundiaí"/>
    <x v="2"/>
    <n v="3"/>
    <n v="12"/>
    <n v="766"/>
    <n v="45.96"/>
    <x v="5"/>
  </r>
  <r>
    <x v="0"/>
    <s v="Jundiaí"/>
    <x v="2"/>
    <n v="5"/>
    <n v="7"/>
    <n v="1159"/>
    <n v="405.65000000000003"/>
    <x v="5"/>
  </r>
  <r>
    <x v="0"/>
    <s v="Santo André"/>
    <x v="2"/>
    <n v="5"/>
    <n v="7"/>
    <n v="600"/>
    <n v="210"/>
    <x v="5"/>
  </r>
  <r>
    <x v="2"/>
    <s v="Santos"/>
    <x v="2"/>
    <n v="5"/>
    <n v="7"/>
    <n v="1727"/>
    <n v="604.45000000000005"/>
    <x v="5"/>
  </r>
  <r>
    <x v="4"/>
    <s v="Sorocaba"/>
    <x v="2"/>
    <n v="5"/>
    <n v="7"/>
    <n v="1403"/>
    <n v="491.05"/>
    <x v="5"/>
  </r>
  <r>
    <x v="0"/>
    <s v="Jundiaí"/>
    <x v="2"/>
    <n v="10"/>
    <n v="20"/>
    <n v="500"/>
    <n v="500"/>
    <x v="5"/>
  </r>
  <r>
    <x v="2"/>
    <s v="Santos"/>
    <x v="2"/>
    <n v="10"/>
    <n v="20"/>
    <n v="1715"/>
    <n v="1715"/>
    <x v="5"/>
  </r>
  <r>
    <x v="0"/>
    <s v="Sorocaba"/>
    <x v="2"/>
    <n v="10"/>
    <n v="20"/>
    <n v="1757"/>
    <n v="1757"/>
    <x v="5"/>
  </r>
  <r>
    <x v="3"/>
    <s v="Santo André"/>
    <x v="2"/>
    <n v="120"/>
    <n v="125"/>
    <n v="1804"/>
    <n v="11275"/>
    <x v="5"/>
  </r>
  <r>
    <x v="3"/>
    <s v="Santos"/>
    <x v="2"/>
    <n v="120"/>
    <n v="125"/>
    <n v="1660"/>
    <n v="10375"/>
    <x v="5"/>
  </r>
  <r>
    <x v="3"/>
    <s v="Santos"/>
    <x v="2"/>
    <n v="120"/>
    <n v="125"/>
    <n v="1857"/>
    <n v="11606.25"/>
    <x v="5"/>
  </r>
  <r>
    <x v="4"/>
    <s v="Campinas"/>
    <x v="3"/>
    <n v="3"/>
    <n v="12"/>
    <n v="2299"/>
    <n v="1379.4"/>
    <x v="5"/>
  </r>
  <r>
    <x v="4"/>
    <s v="Santos"/>
    <x v="3"/>
    <n v="3"/>
    <n v="12"/>
    <n v="367"/>
    <n v="220.20000000000002"/>
    <x v="5"/>
  </r>
  <r>
    <x v="4"/>
    <s v="Sorocaba"/>
    <x v="3"/>
    <n v="3"/>
    <n v="12"/>
    <n v="1198"/>
    <n v="718.80000000000007"/>
    <x v="5"/>
  </r>
  <r>
    <x v="0"/>
    <s v="Santo André"/>
    <x v="3"/>
    <n v="10"/>
    <n v="20"/>
    <n v="267"/>
    <n v="267"/>
    <x v="5"/>
  </r>
  <r>
    <x v="2"/>
    <s v="Santos"/>
    <x v="3"/>
    <n v="10"/>
    <n v="20"/>
    <n v="1715"/>
    <n v="1715"/>
    <x v="5"/>
  </r>
  <r>
    <x v="4"/>
    <s v="Sorocaba"/>
    <x v="3"/>
    <n v="10"/>
    <n v="20"/>
    <n v="120"/>
    <n v="120"/>
    <x v="5"/>
  </r>
  <r>
    <x v="2"/>
    <s v="Campinas"/>
    <x v="3"/>
    <n v="250"/>
    <n v="300"/>
    <n v="1404"/>
    <n v="21060"/>
    <x v="5"/>
  </r>
  <r>
    <x v="3"/>
    <s v="Campinas"/>
    <x v="6"/>
    <n v="120"/>
    <n v="125"/>
    <n v="2954"/>
    <n v="18462.5"/>
    <x v="5"/>
  </r>
  <r>
    <x v="3"/>
    <s v="Campinas"/>
    <x v="0"/>
    <n v="120"/>
    <n v="125"/>
    <n v="2416"/>
    <n v="15100"/>
    <x v="6"/>
  </r>
  <r>
    <x v="0"/>
    <s v="Jundiaí"/>
    <x v="1"/>
    <n v="5"/>
    <n v="7"/>
    <n v="1016"/>
    <n v="355.6"/>
    <x v="6"/>
  </r>
  <r>
    <x v="0"/>
    <s v="Santos"/>
    <x v="1"/>
    <n v="5"/>
    <n v="7"/>
    <n v="700"/>
    <n v="245"/>
    <x v="6"/>
  </r>
  <r>
    <x v="0"/>
    <s v="Campinas"/>
    <x v="4"/>
    <n v="5"/>
    <n v="7"/>
    <n v="2092"/>
    <n v="73.22"/>
    <x v="6"/>
  </r>
  <r>
    <x v="1"/>
    <s v="Santo André"/>
    <x v="4"/>
    <n v="10"/>
    <n v="15"/>
    <n v="671"/>
    <n v="503.25"/>
    <x v="6"/>
  </r>
  <r>
    <x v="2"/>
    <s v="Santo André"/>
    <x v="4"/>
    <n v="250"/>
    <n v="300"/>
    <n v="2574"/>
    <n v="38610"/>
    <x v="6"/>
  </r>
  <r>
    <x v="2"/>
    <s v="Santos"/>
    <x v="4"/>
    <n v="250"/>
    <n v="300"/>
    <n v="2605"/>
    <n v="39075"/>
    <x v="6"/>
  </r>
  <r>
    <x v="2"/>
    <s v="Sorocaba"/>
    <x v="4"/>
    <n v="250"/>
    <n v="300"/>
    <n v="386"/>
    <n v="5790"/>
    <x v="6"/>
  </r>
  <r>
    <x v="0"/>
    <s v="Santo André"/>
    <x v="4"/>
    <n v="260"/>
    <n v="350"/>
    <n v="2007"/>
    <n v="35122.5"/>
    <x v="6"/>
  </r>
  <r>
    <x v="4"/>
    <s v="Santo André"/>
    <x v="2"/>
    <n v="250"/>
    <n v="300"/>
    <n v="2498"/>
    <n v="0"/>
    <x v="6"/>
  </r>
  <r>
    <x v="0"/>
    <s v="Jundiaí"/>
    <x v="2"/>
    <n v="260"/>
    <n v="350"/>
    <n v="200"/>
    <n v="3500"/>
    <x v="6"/>
  </r>
  <r>
    <x v="0"/>
    <s v="Santo André"/>
    <x v="3"/>
    <n v="10"/>
    <n v="20"/>
    <n v="1265"/>
    <n v="0"/>
    <x v="6"/>
  </r>
  <r>
    <x v="0"/>
    <s v="Campinas"/>
    <x v="3"/>
    <n v="260"/>
    <n v="350"/>
    <n v="1725"/>
    <n v="0"/>
    <x v="6"/>
  </r>
  <r>
    <x v="2"/>
    <s v="Santos"/>
    <x v="3"/>
    <n v="260"/>
    <n v="350"/>
    <n v="2151"/>
    <n v="37642.5"/>
    <x v="6"/>
  </r>
  <r>
    <x v="0"/>
    <s v="Campinas"/>
    <x v="6"/>
    <n v="10"/>
    <n v="20"/>
    <n v="935"/>
    <n v="935"/>
    <x v="6"/>
  </r>
  <r>
    <x v="0"/>
    <s v="Jundiaí"/>
    <x v="6"/>
    <n v="10"/>
    <n v="20"/>
    <n v="220"/>
    <n v="0"/>
    <x v="6"/>
  </r>
  <r>
    <x v="0"/>
    <s v="Santos"/>
    <x v="6"/>
    <n v="10"/>
    <n v="20"/>
    <n v="1123"/>
    <n v="1123"/>
    <x v="6"/>
  </r>
  <r>
    <x v="0"/>
    <s v="Sorocaba"/>
    <x v="6"/>
    <n v="10"/>
    <n v="20"/>
    <n v="600"/>
    <n v="0"/>
    <x v="6"/>
  </r>
  <r>
    <x v="0"/>
    <s v="Sorocaba"/>
    <x v="3"/>
    <n v="260"/>
    <n v="350"/>
    <n v="1922"/>
    <n v="33635"/>
    <x v="7"/>
  </r>
  <r>
    <x v="3"/>
    <s v="Santos"/>
    <x v="6"/>
    <n v="120"/>
    <n v="125"/>
    <n v="554"/>
    <n v="3462.5"/>
    <x v="7"/>
  </r>
  <r>
    <x v="3"/>
    <s v="Sorocaba"/>
    <x v="6"/>
    <n v="260"/>
    <n v="350"/>
    <n v="1527"/>
    <n v="0"/>
    <x v="7"/>
  </r>
  <r>
    <x v="4"/>
    <s v="Sorocaba"/>
    <x v="1"/>
    <n v="5"/>
    <n v="7"/>
    <n v="145"/>
    <n v="0"/>
    <x v="8"/>
  </r>
  <r>
    <x v="4"/>
    <s v="Campinas"/>
    <x v="3"/>
    <n v="3"/>
    <n v="12"/>
    <n v="2222"/>
    <n v="1333.2"/>
    <x v="9"/>
  </r>
  <r>
    <x v="4"/>
    <s v="Jundiaí"/>
    <x v="2"/>
    <n v="3"/>
    <n v="12"/>
    <n v="1775"/>
    <n v="1065"/>
    <x v="10"/>
  </r>
  <r>
    <x v="4"/>
    <s v="Santo André"/>
    <x v="4"/>
    <n v="3"/>
    <n v="12"/>
    <n v="912"/>
    <n v="0"/>
    <x v="11"/>
  </r>
  <r>
    <x v="4"/>
    <s v="Santos"/>
    <x v="3"/>
    <n v="3"/>
    <n v="12"/>
    <n v="2763"/>
    <n v="1657.8000000000002"/>
    <x v="12"/>
  </r>
  <r>
    <x v="4"/>
    <s v="Sorocaba"/>
    <x v="3"/>
    <n v="3"/>
    <n v="12"/>
    <n v="1785"/>
    <n v="1071"/>
    <x v="13"/>
  </r>
  <r>
    <x v="1"/>
    <s v="Campinas"/>
    <x v="3"/>
    <n v="10"/>
    <n v="15"/>
    <n v="2152"/>
    <n v="0"/>
    <x v="14"/>
  </r>
  <r>
    <x v="1"/>
    <s v="Jundiaí"/>
    <x v="2"/>
    <n v="10"/>
    <n v="15"/>
    <n v="2116"/>
    <n v="1587"/>
    <x v="15"/>
  </r>
  <r>
    <x v="1"/>
    <s v="Santo André"/>
    <x v="4"/>
    <n v="10"/>
    <n v="15"/>
    <n v="1925"/>
    <n v="0"/>
    <x v="16"/>
  </r>
  <r>
    <x v="1"/>
    <s v="Santos"/>
    <x v="3"/>
    <n v="10"/>
    <n v="15"/>
    <n v="380"/>
    <n v="285"/>
    <x v="17"/>
  </r>
  <r>
    <x v="1"/>
    <s v="Sorocaba"/>
    <x v="3"/>
    <n v="10"/>
    <n v="15"/>
    <n v="2261"/>
    <n v="1695.75"/>
    <x v="18"/>
  </r>
  <r>
    <x v="4"/>
    <s v="Campinas"/>
    <x v="0"/>
    <n v="3"/>
    <n v="12"/>
    <n v="2761"/>
    <n v="1656.6000000000001"/>
    <x v="19"/>
  </r>
  <r>
    <x v="4"/>
    <s v="Santo André"/>
    <x v="0"/>
    <n v="3"/>
    <n v="12"/>
    <n v="1989"/>
    <n v="119.34"/>
    <x v="19"/>
  </r>
  <r>
    <x v="3"/>
    <s v="Campinas"/>
    <x v="0"/>
    <n v="120"/>
    <n v="125"/>
    <n v="2416"/>
    <n v="15100"/>
    <x v="19"/>
  </r>
  <r>
    <x v="3"/>
    <s v="Jundiaí"/>
    <x v="0"/>
    <n v="120"/>
    <n v="125"/>
    <n v="994"/>
    <n v="6212.5"/>
    <x v="19"/>
  </r>
  <r>
    <x v="3"/>
    <s v="Santos"/>
    <x v="0"/>
    <n v="120"/>
    <n v="125"/>
    <n v="947"/>
    <n v="5918.75"/>
    <x v="19"/>
  </r>
  <r>
    <x v="0"/>
    <s v="Campinas"/>
    <x v="0"/>
    <n v="260"/>
    <n v="350"/>
    <n v="1778"/>
    <n v="31115"/>
    <x v="19"/>
  </r>
  <r>
    <x v="2"/>
    <s v="Jundiaí"/>
    <x v="1"/>
    <n v="10"/>
    <n v="20"/>
    <n v="442"/>
    <n v="442"/>
    <x v="19"/>
  </r>
  <r>
    <x v="2"/>
    <s v="Santos"/>
    <x v="1"/>
    <n v="10"/>
    <n v="20"/>
    <n v="1834"/>
    <n v="1834"/>
    <x v="19"/>
  </r>
  <r>
    <x v="3"/>
    <s v="Jundiaí"/>
    <x v="1"/>
    <n v="120"/>
    <n v="125"/>
    <n v="887"/>
    <n v="5543.75"/>
    <x v="19"/>
  </r>
  <r>
    <x v="3"/>
    <s v="Santo André"/>
    <x v="1"/>
    <n v="120"/>
    <n v="125"/>
    <n v="330"/>
    <n v="2062.5"/>
    <x v="19"/>
  </r>
  <r>
    <x v="3"/>
    <s v="Santos"/>
    <x v="1"/>
    <n v="120"/>
    <n v="125"/>
    <n v="2821"/>
    <n v="17631.25"/>
    <x v="19"/>
  </r>
  <r>
    <x v="3"/>
    <s v="Sorocaba"/>
    <x v="1"/>
    <n v="120"/>
    <n v="125"/>
    <n v="1023"/>
    <n v="0"/>
    <x v="19"/>
  </r>
  <r>
    <x v="3"/>
    <s v="Sorocaba"/>
    <x v="1"/>
    <n v="120"/>
    <n v="125"/>
    <n v="1482"/>
    <n v="9262.5"/>
    <x v="19"/>
  </r>
  <r>
    <x v="2"/>
    <s v="Santo André"/>
    <x v="4"/>
    <n v="5"/>
    <n v="7"/>
    <n v="380"/>
    <n v="0"/>
    <x v="19"/>
  </r>
  <r>
    <x v="2"/>
    <s v="Campinas"/>
    <x v="4"/>
    <n v="10"/>
    <n v="20"/>
    <n v="2646"/>
    <n v="2646"/>
    <x v="19"/>
  </r>
  <r>
    <x v="1"/>
    <s v="Jundiaí"/>
    <x v="4"/>
    <n v="10"/>
    <n v="15"/>
    <n v="660"/>
    <n v="495"/>
    <x v="19"/>
  </r>
  <r>
    <x v="0"/>
    <s v="Jundiaí"/>
    <x v="4"/>
    <n v="10"/>
    <n v="20"/>
    <n v="588"/>
    <n v="588"/>
    <x v="19"/>
  </r>
  <r>
    <x v="1"/>
    <s v="Santo André"/>
    <x v="4"/>
    <n v="10"/>
    <n v="15"/>
    <n v="2931"/>
    <n v="2198.25"/>
    <x v="19"/>
  </r>
  <r>
    <x v="2"/>
    <s v="Santo André"/>
    <x v="4"/>
    <n v="10"/>
    <n v="20"/>
    <n v="736"/>
    <n v="736"/>
    <x v="19"/>
  </r>
  <r>
    <x v="1"/>
    <s v="Santos"/>
    <x v="4"/>
    <n v="10"/>
    <n v="15"/>
    <n v="655"/>
    <n v="491.25"/>
    <x v="19"/>
  </r>
  <r>
    <x v="4"/>
    <s v="Sorocaba"/>
    <x v="4"/>
    <n v="10"/>
    <n v="20"/>
    <n v="2805"/>
    <n v="2805"/>
    <x v="19"/>
  </r>
  <r>
    <x v="3"/>
    <s v="Campinas"/>
    <x v="4"/>
    <n v="120"/>
    <n v="125"/>
    <n v="1916"/>
    <n v="11975"/>
    <x v="19"/>
  </r>
  <r>
    <x v="3"/>
    <s v="Santo André"/>
    <x v="4"/>
    <n v="120"/>
    <n v="125"/>
    <n v="2438"/>
    <n v="15237.5"/>
    <x v="19"/>
  </r>
  <r>
    <x v="2"/>
    <s v="Campinas"/>
    <x v="2"/>
    <n v="5"/>
    <n v="7"/>
    <n v="2409"/>
    <n v="843.15000000000009"/>
    <x v="19"/>
  </r>
  <r>
    <x v="0"/>
    <s v="Campinas"/>
    <x v="2"/>
    <n v="5"/>
    <n v="7"/>
    <n v="1611"/>
    <n v="563.85"/>
    <x v="19"/>
  </r>
  <r>
    <x v="0"/>
    <s v="Jundiaí"/>
    <x v="2"/>
    <n v="5"/>
    <n v="7"/>
    <n v="125"/>
    <n v="43.75"/>
    <x v="19"/>
  </r>
  <r>
    <x v="2"/>
    <s v="Campinas"/>
    <x v="2"/>
    <n v="250"/>
    <n v="300"/>
    <n v="1283"/>
    <n v="19245"/>
    <x v="19"/>
  </r>
  <r>
    <x v="2"/>
    <s v="Jundiaí"/>
    <x v="2"/>
    <n v="250"/>
    <n v="300"/>
    <n v="334"/>
    <n v="5010"/>
    <x v="19"/>
  </r>
  <r>
    <x v="2"/>
    <s v="Jundiaí"/>
    <x v="2"/>
    <n v="250"/>
    <n v="300"/>
    <n v="1123"/>
    <n v="16845"/>
    <x v="19"/>
  </r>
  <r>
    <x v="2"/>
    <s v="Santos"/>
    <x v="2"/>
    <n v="250"/>
    <n v="300"/>
    <n v="1100"/>
    <n v="16500"/>
    <x v="19"/>
  </r>
  <r>
    <x v="4"/>
    <s v="Sorocaba"/>
    <x v="2"/>
    <n v="250"/>
    <n v="300"/>
    <n v="322"/>
    <n v="4830"/>
    <x v="19"/>
  </r>
  <r>
    <x v="4"/>
    <s v="Sorocaba"/>
    <x v="2"/>
    <n v="250"/>
    <n v="300"/>
    <n v="1186"/>
    <n v="17790"/>
    <x v="19"/>
  </r>
  <r>
    <x v="2"/>
    <s v="Campinas"/>
    <x v="2"/>
    <n v="260"/>
    <n v="350"/>
    <n v="1797"/>
    <n v="31447.5"/>
    <x v="19"/>
  </r>
  <r>
    <x v="2"/>
    <s v="Santos"/>
    <x v="2"/>
    <n v="260"/>
    <n v="350"/>
    <n v="720"/>
    <n v="0"/>
    <x v="19"/>
  </r>
  <r>
    <x v="2"/>
    <s v="Campinas"/>
    <x v="3"/>
    <n v="5"/>
    <n v="7"/>
    <n v="2349"/>
    <n v="822.15000000000009"/>
    <x v="19"/>
  </r>
  <r>
    <x v="2"/>
    <s v="Santos"/>
    <x v="3"/>
    <n v="5"/>
    <n v="7"/>
    <n v="1760"/>
    <n v="616"/>
    <x v="19"/>
  </r>
  <r>
    <x v="4"/>
    <s v="Sorocaba"/>
    <x v="3"/>
    <n v="5"/>
    <n v="7"/>
    <n v="1031"/>
    <n v="360.85"/>
    <x v="19"/>
  </r>
  <r>
    <x v="1"/>
    <s v="Campinas"/>
    <x v="3"/>
    <n v="10"/>
    <n v="15"/>
    <n v="2470"/>
    <n v="1852.5"/>
    <x v="19"/>
  </r>
  <r>
    <x v="0"/>
    <s v="Campinas"/>
    <x v="3"/>
    <n v="10"/>
    <n v="20"/>
    <n v="1802"/>
    <n v="1802"/>
    <x v="19"/>
  </r>
  <r>
    <x v="1"/>
    <s v="Sorocaba"/>
    <x v="3"/>
    <n v="10"/>
    <n v="15"/>
    <n v="549"/>
    <n v="0"/>
    <x v="19"/>
  </r>
  <r>
    <x v="4"/>
    <s v="Santo André"/>
    <x v="3"/>
    <n v="250"/>
    <n v="300"/>
    <n v="808"/>
    <n v="12120"/>
    <x v="19"/>
  </r>
  <r>
    <x v="2"/>
    <s v="Santos"/>
    <x v="3"/>
    <n v="250"/>
    <n v="300"/>
    <n v="788"/>
    <n v="0"/>
    <x v="19"/>
  </r>
  <r>
    <x v="4"/>
    <s v="Santo André"/>
    <x v="3"/>
    <n v="260"/>
    <n v="350"/>
    <n v="349"/>
    <n v="0"/>
    <x v="19"/>
  </r>
  <r>
    <x v="4"/>
    <s v="Jundiaí"/>
    <x v="6"/>
    <n v="3"/>
    <n v="12"/>
    <n v="2215"/>
    <n v="1329"/>
    <x v="19"/>
  </r>
  <r>
    <x v="4"/>
    <s v="Santos"/>
    <x v="6"/>
    <n v="3"/>
    <n v="12"/>
    <n v="1005"/>
    <n v="603"/>
    <x v="19"/>
  </r>
  <r>
    <x v="4"/>
    <s v="Sorocaba"/>
    <x v="6"/>
    <n v="3"/>
    <n v="12"/>
    <n v="2234"/>
    <n v="1340.4"/>
    <x v="19"/>
  </r>
  <r>
    <x v="2"/>
    <s v="Campinas"/>
    <x v="6"/>
    <n v="250"/>
    <n v="300"/>
    <n v="2436"/>
    <n v="36540"/>
    <x v="19"/>
  </r>
  <r>
    <x v="2"/>
    <s v="Campinas"/>
    <x v="6"/>
    <n v="260"/>
    <n v="350"/>
    <n v="623"/>
    <n v="10902.5"/>
    <x v="19"/>
  </r>
  <r>
    <x v="0"/>
    <s v="Jundiaí"/>
    <x v="6"/>
    <n v="260"/>
    <n v="350"/>
    <n v="200"/>
    <n v="3500"/>
    <x v="19"/>
  </r>
  <r>
    <x v="4"/>
    <s v="Jundiaí"/>
    <x v="0"/>
    <n v="3"/>
    <n v="12"/>
    <n v="1770"/>
    <n v="1062"/>
    <x v="20"/>
  </r>
  <r>
    <x v="4"/>
    <s v="Santo André"/>
    <x v="0"/>
    <n v="3"/>
    <n v="12"/>
    <n v="2015"/>
    <n v="1209"/>
    <x v="20"/>
  </r>
  <r>
    <x v="4"/>
    <s v="Santos"/>
    <x v="0"/>
    <n v="3"/>
    <n v="12"/>
    <n v="1375"/>
    <n v="825"/>
    <x v="20"/>
  </r>
  <r>
    <x v="0"/>
    <s v="Campinas"/>
    <x v="0"/>
    <n v="5"/>
    <n v="7"/>
    <n v="300"/>
    <n v="105"/>
    <x v="20"/>
  </r>
  <r>
    <x v="2"/>
    <s v="Santos"/>
    <x v="0"/>
    <n v="5"/>
    <n v="7"/>
    <n v="1727"/>
    <n v="604.45000000000005"/>
    <x v="20"/>
  </r>
  <r>
    <x v="4"/>
    <s v="Sorocaba"/>
    <x v="0"/>
    <n v="5"/>
    <n v="7"/>
    <n v="1403"/>
    <n v="491.05"/>
    <x v="20"/>
  </r>
  <r>
    <x v="1"/>
    <s v="Campinas"/>
    <x v="0"/>
    <n v="10"/>
    <n v="15"/>
    <n v="1743"/>
    <n v="1307.25"/>
    <x v="20"/>
  </r>
  <r>
    <x v="1"/>
    <s v="Santo André"/>
    <x v="0"/>
    <n v="10"/>
    <n v="15"/>
    <n v="671"/>
    <n v="503.25"/>
    <x v="20"/>
  </r>
  <r>
    <x v="0"/>
    <s v="Campinas"/>
    <x v="0"/>
    <n v="260"/>
    <n v="350"/>
    <n v="1228"/>
    <n v="21490"/>
    <x v="20"/>
  </r>
  <r>
    <x v="0"/>
    <s v="Jundiaí"/>
    <x v="0"/>
    <n v="260"/>
    <n v="350"/>
    <n v="966"/>
    <n v="16905"/>
    <x v="20"/>
  </r>
  <r>
    <x v="0"/>
    <s v="Santo André"/>
    <x v="0"/>
    <n v="260"/>
    <n v="350"/>
    <n v="727"/>
    <n v="12722.5"/>
    <x v="20"/>
  </r>
  <r>
    <x v="0"/>
    <s v="Santos"/>
    <x v="0"/>
    <n v="260"/>
    <n v="350"/>
    <n v="344"/>
    <n v="6020"/>
    <x v="20"/>
  </r>
  <r>
    <x v="0"/>
    <s v="Sorocaba"/>
    <x v="0"/>
    <n v="260"/>
    <n v="350"/>
    <n v="2076"/>
    <n v="36330"/>
    <x v="20"/>
  </r>
  <r>
    <x v="4"/>
    <s v="Campinas"/>
    <x v="1"/>
    <n v="3"/>
    <n v="12"/>
    <n v="2100"/>
    <n v="0"/>
    <x v="20"/>
  </r>
  <r>
    <x v="4"/>
    <s v="Campinas"/>
    <x v="1"/>
    <n v="3"/>
    <n v="12"/>
    <n v="908"/>
    <n v="544.80000000000007"/>
    <x v="20"/>
  </r>
  <r>
    <x v="4"/>
    <s v="Jundiaí"/>
    <x v="1"/>
    <n v="3"/>
    <n v="12"/>
    <n v="766"/>
    <n v="45.96"/>
    <x v="20"/>
  </r>
  <r>
    <x v="4"/>
    <s v="Santo André"/>
    <x v="1"/>
    <n v="3"/>
    <n v="12"/>
    <n v="386"/>
    <n v="231.60000000000002"/>
    <x v="20"/>
  </r>
  <r>
    <x v="4"/>
    <s v="Santos"/>
    <x v="1"/>
    <n v="3"/>
    <n v="12"/>
    <n v="367"/>
    <n v="220.20000000000002"/>
    <x v="20"/>
  </r>
  <r>
    <x v="4"/>
    <s v="Sorocaba"/>
    <x v="1"/>
    <n v="3"/>
    <n v="12"/>
    <n v="1198"/>
    <n v="718.80000000000007"/>
    <x v="20"/>
  </r>
  <r>
    <x v="0"/>
    <s v="Santo André"/>
    <x v="1"/>
    <n v="5"/>
    <n v="7"/>
    <n v="996"/>
    <n v="0"/>
    <x v="20"/>
  </r>
  <r>
    <x v="2"/>
    <s v="Jundiaí"/>
    <x v="1"/>
    <n v="250"/>
    <n v="300"/>
    <n v="200"/>
    <n v="0"/>
    <x v="20"/>
  </r>
  <r>
    <x v="2"/>
    <s v="Santos"/>
    <x v="1"/>
    <n v="250"/>
    <n v="300"/>
    <n v="494"/>
    <n v="7410"/>
    <x v="20"/>
  </r>
  <r>
    <x v="4"/>
    <s v="Santo André"/>
    <x v="4"/>
    <n v="3"/>
    <n v="12"/>
    <n v="386"/>
    <n v="231.60000000000002"/>
    <x v="20"/>
  </r>
  <r>
    <x v="1"/>
    <s v="Santo André"/>
    <x v="4"/>
    <n v="10"/>
    <n v="15"/>
    <n v="671"/>
    <n v="503.25"/>
    <x v="20"/>
  </r>
  <r>
    <x v="0"/>
    <s v="Santo André"/>
    <x v="4"/>
    <n v="10"/>
    <n v="20"/>
    <n v="267"/>
    <n v="267"/>
    <x v="20"/>
  </r>
  <r>
    <x v="0"/>
    <s v="Santo André"/>
    <x v="4"/>
    <n v="10"/>
    <n v="20"/>
    <n v="1421"/>
    <n v="1421"/>
    <x v="20"/>
  </r>
  <r>
    <x v="0"/>
    <s v="Santos"/>
    <x v="4"/>
    <n v="10"/>
    <n v="20"/>
    <n v="544"/>
    <n v="108.8"/>
    <x v="20"/>
  </r>
  <r>
    <x v="4"/>
    <s v="Sorocaba"/>
    <x v="4"/>
    <n v="10"/>
    <n v="20"/>
    <n v="1033"/>
    <n v="1033"/>
    <x v="20"/>
  </r>
  <r>
    <x v="3"/>
    <s v="Campinas"/>
    <x v="4"/>
    <n v="120"/>
    <n v="125"/>
    <n v="345"/>
    <n v="0"/>
    <x v="20"/>
  </r>
  <r>
    <x v="3"/>
    <s v="Jundiaí"/>
    <x v="4"/>
    <n v="120"/>
    <n v="125"/>
    <n v="809"/>
    <n v="0"/>
    <x v="20"/>
  </r>
  <r>
    <x v="3"/>
    <s v="Santo André"/>
    <x v="4"/>
    <n v="120"/>
    <n v="125"/>
    <n v="663"/>
    <n v="4143.75"/>
    <x v="20"/>
  </r>
  <r>
    <x v="3"/>
    <s v="Santos"/>
    <x v="4"/>
    <n v="120"/>
    <n v="125"/>
    <n v="2145"/>
    <n v="13406.25"/>
    <x v="20"/>
  </r>
  <r>
    <x v="3"/>
    <s v="Sorocaba"/>
    <x v="4"/>
    <n v="120"/>
    <n v="125"/>
    <n v="704"/>
    <n v="4400"/>
    <x v="20"/>
  </r>
  <r>
    <x v="2"/>
    <s v="Campinas"/>
    <x v="4"/>
    <n v="250"/>
    <n v="300"/>
    <n v="269"/>
    <n v="4035"/>
    <x v="20"/>
  </r>
  <r>
    <x v="2"/>
    <s v="Santo André"/>
    <x v="4"/>
    <n v="250"/>
    <n v="300"/>
    <n v="2294"/>
    <n v="34410"/>
    <x v="20"/>
  </r>
  <r>
    <x v="4"/>
    <s v="Sorocaba"/>
    <x v="4"/>
    <n v="250"/>
    <n v="300"/>
    <n v="1221"/>
    <n v="18315"/>
    <x v="20"/>
  </r>
  <r>
    <x v="0"/>
    <s v="Santo André"/>
    <x v="4"/>
    <n v="260"/>
    <n v="350"/>
    <n v="727"/>
    <n v="12722.5"/>
    <x v="20"/>
  </r>
  <r>
    <x v="0"/>
    <s v="Santos"/>
    <x v="4"/>
    <n v="260"/>
    <n v="350"/>
    <n v="344"/>
    <n v="6020"/>
    <x v="20"/>
  </r>
  <r>
    <x v="0"/>
    <s v="Sorocaba"/>
    <x v="4"/>
    <n v="260"/>
    <n v="350"/>
    <n v="2076"/>
    <n v="36330"/>
    <x v="20"/>
  </r>
  <r>
    <x v="4"/>
    <s v="Jundiaí"/>
    <x v="2"/>
    <n v="3"/>
    <n v="12"/>
    <n v="766"/>
    <n v="45.96"/>
    <x v="20"/>
  </r>
  <r>
    <x v="0"/>
    <s v="Campinas"/>
    <x v="2"/>
    <n v="5"/>
    <n v="7"/>
    <n v="900"/>
    <n v="315"/>
    <x v="20"/>
  </r>
  <r>
    <x v="0"/>
    <s v="Jundiaí"/>
    <x v="2"/>
    <n v="5"/>
    <n v="7"/>
    <n v="1159"/>
    <n v="405.65000000000003"/>
    <x v="20"/>
  </r>
  <r>
    <x v="0"/>
    <s v="Santo André"/>
    <x v="2"/>
    <n v="5"/>
    <n v="7"/>
    <n v="600"/>
    <n v="0"/>
    <x v="20"/>
  </r>
  <r>
    <x v="2"/>
    <s v="Santos"/>
    <x v="2"/>
    <n v="5"/>
    <n v="7"/>
    <n v="1727"/>
    <n v="604.45000000000005"/>
    <x v="20"/>
  </r>
  <r>
    <x v="4"/>
    <s v="Sorocaba"/>
    <x v="2"/>
    <n v="5"/>
    <n v="7"/>
    <n v="1403"/>
    <n v="491.05"/>
    <x v="20"/>
  </r>
  <r>
    <x v="1"/>
    <s v="Jundiaí"/>
    <x v="2"/>
    <n v="10"/>
    <n v="15"/>
    <n v="1945"/>
    <n v="1458.75"/>
    <x v="20"/>
  </r>
  <r>
    <x v="0"/>
    <s v="Jundiaí"/>
    <x v="2"/>
    <n v="10"/>
    <n v="20"/>
    <n v="500"/>
    <n v="500"/>
    <x v="20"/>
  </r>
  <r>
    <x v="0"/>
    <s v="Jundiaí"/>
    <x v="2"/>
    <n v="10"/>
    <n v="20"/>
    <n v="992"/>
    <n v="992"/>
    <x v="20"/>
  </r>
  <r>
    <x v="2"/>
    <s v="Santos"/>
    <x v="2"/>
    <n v="10"/>
    <n v="20"/>
    <n v="1715"/>
    <n v="1715"/>
    <x v="20"/>
  </r>
  <r>
    <x v="0"/>
    <s v="Sorocaba"/>
    <x v="2"/>
    <n v="10"/>
    <n v="20"/>
    <n v="1757"/>
    <n v="1757"/>
    <x v="20"/>
  </r>
  <r>
    <x v="3"/>
    <s v="Campinas"/>
    <x v="2"/>
    <n v="120"/>
    <n v="125"/>
    <n v="345"/>
    <n v="0"/>
    <x v="20"/>
  </r>
  <r>
    <x v="3"/>
    <s v="Santo André"/>
    <x v="2"/>
    <n v="120"/>
    <n v="125"/>
    <n v="663"/>
    <n v="4143.75"/>
    <x v="20"/>
  </r>
  <r>
    <x v="4"/>
    <s v="Campinas"/>
    <x v="3"/>
    <n v="3"/>
    <n v="12"/>
    <n v="2299"/>
    <n v="0"/>
    <x v="20"/>
  </r>
  <r>
    <x v="4"/>
    <s v="Santos"/>
    <x v="3"/>
    <n v="3"/>
    <n v="12"/>
    <n v="367"/>
    <n v="220.20000000000002"/>
    <x v="20"/>
  </r>
  <r>
    <x v="4"/>
    <s v="Sorocaba"/>
    <x v="3"/>
    <n v="3"/>
    <n v="12"/>
    <n v="1198"/>
    <n v="718.80000000000007"/>
    <x v="20"/>
  </r>
  <r>
    <x v="0"/>
    <s v="Santos"/>
    <x v="3"/>
    <n v="5"/>
    <n v="7"/>
    <n v="946"/>
    <n v="331.1"/>
    <x v="20"/>
  </r>
  <r>
    <x v="0"/>
    <s v="Sorocaba"/>
    <x v="3"/>
    <n v="5"/>
    <n v="7"/>
    <n v="2136"/>
    <n v="747.6"/>
    <x v="20"/>
  </r>
  <r>
    <x v="1"/>
    <s v="Campinas"/>
    <x v="3"/>
    <n v="10"/>
    <n v="15"/>
    <n v="1743"/>
    <n v="1307.25"/>
    <x v="20"/>
  </r>
  <r>
    <x v="0"/>
    <s v="Campinas"/>
    <x v="3"/>
    <n v="10"/>
    <n v="20"/>
    <n v="1389"/>
    <n v="1389"/>
    <x v="20"/>
  </r>
  <r>
    <x v="0"/>
    <s v="Santo André"/>
    <x v="3"/>
    <n v="10"/>
    <n v="20"/>
    <n v="180"/>
    <n v="0"/>
    <x v="20"/>
  </r>
  <r>
    <x v="1"/>
    <s v="Santos"/>
    <x v="3"/>
    <n v="10"/>
    <n v="15"/>
    <n v="1514"/>
    <n v="1135.5"/>
    <x v="20"/>
  </r>
  <r>
    <x v="2"/>
    <s v="Santos"/>
    <x v="3"/>
    <n v="10"/>
    <n v="20"/>
    <n v="1715"/>
    <n v="1715"/>
    <x v="20"/>
  </r>
  <r>
    <x v="1"/>
    <s v="Sorocaba"/>
    <x v="3"/>
    <n v="10"/>
    <n v="15"/>
    <n v="2167"/>
    <n v="1625.25"/>
    <x v="20"/>
  </r>
  <r>
    <x v="4"/>
    <s v="Sorocaba"/>
    <x v="3"/>
    <n v="10"/>
    <n v="20"/>
    <n v="120"/>
    <n v="120"/>
    <x v="20"/>
  </r>
  <r>
    <x v="3"/>
    <s v="Santos"/>
    <x v="3"/>
    <n v="120"/>
    <n v="125"/>
    <n v="2145"/>
    <n v="13406.25"/>
    <x v="20"/>
  </r>
  <r>
    <x v="3"/>
    <s v="Sorocaba"/>
    <x v="3"/>
    <n v="120"/>
    <n v="125"/>
    <n v="704"/>
    <n v="0"/>
    <x v="20"/>
  </r>
  <r>
    <x v="4"/>
    <s v="Santo André"/>
    <x v="3"/>
    <n v="250"/>
    <n v="300"/>
    <n v="2500"/>
    <n v="37500"/>
    <x v="20"/>
  </r>
  <r>
    <x v="0"/>
    <s v="Campinas"/>
    <x v="3"/>
    <n v="260"/>
    <n v="350"/>
    <n v="1228"/>
    <n v="21490"/>
    <x v="20"/>
  </r>
  <r>
    <x v="0"/>
    <s v="Santo André"/>
    <x v="3"/>
    <n v="260"/>
    <n v="350"/>
    <n v="266"/>
    <n v="4655"/>
    <x v="20"/>
  </r>
  <r>
    <x v="0"/>
    <s v="Campinas"/>
    <x v="6"/>
    <n v="10"/>
    <n v="20"/>
    <n v="1389"/>
    <n v="1389"/>
    <x v="20"/>
  </r>
  <r>
    <x v="1"/>
    <s v="Jundiaí"/>
    <x v="6"/>
    <n v="10"/>
    <n v="15"/>
    <n v="1945"/>
    <n v="1458.75"/>
    <x v="20"/>
  </r>
  <r>
    <x v="1"/>
    <s v="Santos"/>
    <x v="6"/>
    <n v="10"/>
    <n v="15"/>
    <n v="1514"/>
    <n v="1135.5"/>
    <x v="20"/>
  </r>
  <r>
    <x v="1"/>
    <s v="Sorocaba"/>
    <x v="6"/>
    <n v="10"/>
    <n v="15"/>
    <n v="2167"/>
    <n v="1625.25"/>
    <x v="20"/>
  </r>
  <r>
    <x v="2"/>
    <s v="Campinas"/>
    <x v="6"/>
    <n v="250"/>
    <n v="300"/>
    <n v="140"/>
    <n v="0"/>
    <x v="20"/>
  </r>
  <r>
    <x v="2"/>
    <s v="Jundiaí"/>
    <x v="6"/>
    <n v="250"/>
    <n v="300"/>
    <n v="214"/>
    <n v="3210"/>
    <x v="20"/>
  </r>
  <r>
    <x v="2"/>
    <s v="Santos"/>
    <x v="6"/>
    <n v="250"/>
    <n v="300"/>
    <n v="494"/>
    <n v="7410"/>
    <x v="20"/>
  </r>
  <r>
    <x v="3"/>
    <s v="Sorocaba"/>
    <x v="6"/>
    <n v="250"/>
    <n v="300"/>
    <n v="1221"/>
    <n v="18315"/>
    <x v="20"/>
  </r>
  <r>
    <x v="2"/>
    <s v="Santos"/>
    <x v="6"/>
    <n v="260"/>
    <n v="350"/>
    <n v="1940"/>
    <n v="33950"/>
    <x v="20"/>
  </r>
  <r>
    <x v="4"/>
    <s v="Sorocaba"/>
    <x v="6"/>
    <n v="260"/>
    <n v="350"/>
    <n v="1281"/>
    <n v="22417.5"/>
    <x v="20"/>
  </r>
  <r>
    <x v="4"/>
    <s v="Jundiaí"/>
    <x v="0"/>
    <n v="3"/>
    <n v="12"/>
    <n v="1770"/>
    <n v="1062"/>
    <x v="21"/>
  </r>
  <r>
    <x v="4"/>
    <s v="Santo André"/>
    <x v="0"/>
    <n v="3"/>
    <n v="12"/>
    <n v="2015"/>
    <n v="1209"/>
    <x v="21"/>
  </r>
  <r>
    <x v="4"/>
    <s v="Santos"/>
    <x v="0"/>
    <n v="3"/>
    <n v="12"/>
    <n v="1375"/>
    <n v="825"/>
    <x v="21"/>
  </r>
  <r>
    <x v="1"/>
    <s v="Campinas"/>
    <x v="0"/>
    <n v="10"/>
    <n v="15"/>
    <n v="1560"/>
    <n v="1170"/>
    <x v="21"/>
  </r>
  <r>
    <x v="1"/>
    <s v="Jundiaí"/>
    <x v="0"/>
    <n v="10"/>
    <n v="15"/>
    <n v="970"/>
    <n v="727.5"/>
    <x v="21"/>
  </r>
  <r>
    <x v="1"/>
    <s v="Santo André"/>
    <x v="0"/>
    <n v="10"/>
    <n v="15"/>
    <n v="2548"/>
    <n v="0"/>
    <x v="21"/>
  </r>
  <r>
    <x v="1"/>
    <s v="Santos"/>
    <x v="0"/>
    <n v="10"/>
    <n v="15"/>
    <n v="1870"/>
    <n v="1402.5"/>
    <x v="21"/>
  </r>
  <r>
    <x v="1"/>
    <s v="Sorocaba"/>
    <x v="0"/>
    <n v="10"/>
    <n v="15"/>
    <n v="321"/>
    <n v="24.074999999999999"/>
    <x v="21"/>
  </r>
  <r>
    <x v="3"/>
    <s v="Jundiaí"/>
    <x v="0"/>
    <n v="120"/>
    <n v="125"/>
    <n v="994"/>
    <n v="6212.5"/>
    <x v="21"/>
  </r>
  <r>
    <x v="3"/>
    <s v="Santos"/>
    <x v="0"/>
    <n v="120"/>
    <n v="125"/>
    <n v="947"/>
    <n v="5918.75"/>
    <x v="21"/>
  </r>
  <r>
    <x v="4"/>
    <s v="Campinas"/>
    <x v="1"/>
    <n v="3"/>
    <n v="12"/>
    <n v="908"/>
    <n v="544.80000000000007"/>
    <x v="21"/>
  </r>
  <r>
    <x v="0"/>
    <s v="Jundiaí"/>
    <x v="1"/>
    <n v="5"/>
    <n v="7"/>
    <n v="1016"/>
    <n v="355.6"/>
    <x v="21"/>
  </r>
  <r>
    <x v="0"/>
    <s v="Santo André"/>
    <x v="1"/>
    <n v="5"/>
    <n v="7"/>
    <n v="263"/>
    <n v="55.23"/>
    <x v="21"/>
  </r>
  <r>
    <x v="0"/>
    <s v="Santos"/>
    <x v="1"/>
    <n v="5"/>
    <n v="7"/>
    <n v="700"/>
    <n v="245"/>
    <x v="21"/>
  </r>
  <r>
    <x v="4"/>
    <s v="Sorocaba"/>
    <x v="1"/>
    <n v="5"/>
    <n v="7"/>
    <n v="145"/>
    <n v="0"/>
    <x v="21"/>
  </r>
  <r>
    <x v="3"/>
    <s v="Santo André"/>
    <x v="1"/>
    <n v="120"/>
    <n v="125"/>
    <n v="330"/>
    <n v="2062.5"/>
    <x v="21"/>
  </r>
  <r>
    <x v="4"/>
    <s v="Santo André"/>
    <x v="4"/>
    <n v="3"/>
    <n v="12"/>
    <n v="912"/>
    <n v="0"/>
    <x v="21"/>
  </r>
  <r>
    <x v="0"/>
    <s v="Campinas"/>
    <x v="4"/>
    <n v="5"/>
    <n v="7"/>
    <n v="2092"/>
    <n v="73.22"/>
    <x v="21"/>
  </r>
  <r>
    <x v="1"/>
    <s v="Santo André"/>
    <x v="4"/>
    <n v="10"/>
    <n v="15"/>
    <n v="2931"/>
    <n v="2198.25"/>
    <x v="21"/>
  </r>
  <r>
    <x v="1"/>
    <s v="Santos"/>
    <x v="4"/>
    <n v="10"/>
    <n v="15"/>
    <n v="655"/>
    <n v="491.25"/>
    <x v="21"/>
  </r>
  <r>
    <x v="0"/>
    <s v="Santos"/>
    <x v="4"/>
    <n v="10"/>
    <n v="20"/>
    <n v="544"/>
    <n v="108.8"/>
    <x v="21"/>
  </r>
  <r>
    <x v="4"/>
    <s v="Sorocaba"/>
    <x v="4"/>
    <n v="10"/>
    <n v="20"/>
    <n v="1033"/>
    <n v="1033"/>
    <x v="21"/>
  </r>
  <r>
    <x v="2"/>
    <s v="Campinas"/>
    <x v="4"/>
    <n v="250"/>
    <n v="300"/>
    <n v="2536"/>
    <n v="38040"/>
    <x v="21"/>
  </r>
  <r>
    <x v="2"/>
    <s v="Santo André"/>
    <x v="4"/>
    <n v="250"/>
    <n v="300"/>
    <n v="2574"/>
    <n v="38610"/>
    <x v="21"/>
  </r>
  <r>
    <x v="2"/>
    <s v="Santos"/>
    <x v="4"/>
    <n v="250"/>
    <n v="300"/>
    <n v="2605"/>
    <n v="39075"/>
    <x v="21"/>
  </r>
  <r>
    <x v="3"/>
    <s v="Sorocaba"/>
    <x v="4"/>
    <n v="250"/>
    <n v="300"/>
    <n v="386"/>
    <n v="5790"/>
    <x v="21"/>
  </r>
  <r>
    <x v="0"/>
    <s v="Santo André"/>
    <x v="4"/>
    <n v="260"/>
    <n v="350"/>
    <n v="2007"/>
    <n v="35122.5"/>
    <x v="21"/>
  </r>
  <r>
    <x v="4"/>
    <s v="Jundiaí"/>
    <x v="2"/>
    <n v="3"/>
    <n v="12"/>
    <n v="1775"/>
    <n v="1065"/>
    <x v="21"/>
  </r>
  <r>
    <x v="3"/>
    <s v="Jundiaí"/>
    <x v="2"/>
    <n v="120"/>
    <n v="125"/>
    <n v="2500"/>
    <n v="15625"/>
    <x v="21"/>
  </r>
  <r>
    <x v="3"/>
    <s v="Santo André"/>
    <x v="2"/>
    <n v="120"/>
    <n v="125"/>
    <n v="1804"/>
    <n v="11275"/>
    <x v="21"/>
  </r>
  <r>
    <x v="3"/>
    <s v="Santos"/>
    <x v="2"/>
    <n v="120"/>
    <n v="125"/>
    <n v="1660"/>
    <n v="10375"/>
    <x v="21"/>
  </r>
  <r>
    <x v="3"/>
    <s v="Santos"/>
    <x v="2"/>
    <n v="120"/>
    <n v="125"/>
    <n v="1857"/>
    <n v="11606.25"/>
    <x v="21"/>
  </r>
  <r>
    <x v="0"/>
    <s v="Jundiaí"/>
    <x v="2"/>
    <n v="260"/>
    <n v="350"/>
    <n v="200"/>
    <n v="3500"/>
    <x v="21"/>
  </r>
  <r>
    <x v="4"/>
    <s v="Campinas"/>
    <x v="3"/>
    <n v="3"/>
    <n v="12"/>
    <n v="2222"/>
    <n v="1333.2"/>
    <x v="21"/>
  </r>
  <r>
    <x v="4"/>
    <s v="Santos"/>
    <x v="3"/>
    <n v="3"/>
    <n v="12"/>
    <n v="2763"/>
    <n v="1657.8000000000002"/>
    <x v="21"/>
  </r>
  <r>
    <x v="4"/>
    <s v="Sorocaba"/>
    <x v="3"/>
    <n v="3"/>
    <n v="12"/>
    <n v="1785"/>
    <n v="1071"/>
    <x v="21"/>
  </r>
  <r>
    <x v="0"/>
    <s v="Sorocaba"/>
    <x v="3"/>
    <n v="5"/>
    <n v="7"/>
    <n v="2136"/>
    <n v="747.6"/>
    <x v="21"/>
  </r>
  <r>
    <x v="0"/>
    <s v="Santo André"/>
    <x v="3"/>
    <n v="10"/>
    <n v="20"/>
    <n v="1265"/>
    <n v="0"/>
    <x v="21"/>
  </r>
  <r>
    <x v="1"/>
    <s v="Sorocaba"/>
    <x v="3"/>
    <n v="10"/>
    <n v="15"/>
    <n v="549"/>
    <n v="0"/>
    <x v="21"/>
  </r>
  <r>
    <x v="2"/>
    <s v="Campinas"/>
    <x v="3"/>
    <n v="250"/>
    <n v="300"/>
    <n v="1404"/>
    <n v="21060"/>
    <x v="21"/>
  </r>
  <r>
    <x v="0"/>
    <s v="Campinas"/>
    <x v="3"/>
    <n v="260"/>
    <n v="350"/>
    <n v="1725"/>
    <n v="0"/>
    <x v="21"/>
  </r>
  <r>
    <x v="2"/>
    <s v="Santos"/>
    <x v="3"/>
    <n v="260"/>
    <n v="350"/>
    <n v="2151"/>
    <n v="37642.5"/>
    <x v="21"/>
  </r>
  <r>
    <x v="0"/>
    <s v="Sorocaba"/>
    <x v="3"/>
    <n v="260"/>
    <n v="350"/>
    <n v="1922"/>
    <n v="33635"/>
    <x v="21"/>
  </r>
  <r>
    <x v="0"/>
    <s v="Campinas"/>
    <x v="6"/>
    <n v="10"/>
    <n v="20"/>
    <n v="935"/>
    <n v="935"/>
    <x v="21"/>
  </r>
  <r>
    <x v="0"/>
    <s v="Jundiaí"/>
    <x v="6"/>
    <n v="10"/>
    <n v="20"/>
    <n v="220"/>
    <n v="0"/>
    <x v="21"/>
  </r>
  <r>
    <x v="0"/>
    <s v="Santos"/>
    <x v="6"/>
    <n v="10"/>
    <n v="20"/>
    <n v="1123"/>
    <n v="1123"/>
    <x v="21"/>
  </r>
  <r>
    <x v="0"/>
    <s v="Sorocaba"/>
    <x v="6"/>
    <n v="10"/>
    <n v="20"/>
    <n v="600"/>
    <n v="0"/>
    <x v="21"/>
  </r>
  <r>
    <x v="3"/>
    <s v="Campinas"/>
    <x v="6"/>
    <n v="120"/>
    <n v="125"/>
    <n v="2954"/>
    <n v="18462.5"/>
    <x v="21"/>
  </r>
  <r>
    <x v="4"/>
    <s v="Sorocaba"/>
    <x v="6"/>
    <n v="260"/>
    <n v="350"/>
    <n v="1281"/>
    <n v="22417.5"/>
    <x v="21"/>
  </r>
  <r>
    <x v="4"/>
    <s v="Jundiaí"/>
    <x v="0"/>
    <n v="3"/>
    <n v="12"/>
    <n v="1770"/>
    <n v="1062"/>
    <x v="22"/>
  </r>
  <r>
    <x v="4"/>
    <s v="Santo André"/>
    <x v="0"/>
    <n v="3"/>
    <n v="12"/>
    <n v="2015"/>
    <n v="1209"/>
    <x v="22"/>
  </r>
  <r>
    <x v="4"/>
    <s v="Santos"/>
    <x v="0"/>
    <n v="3"/>
    <n v="12"/>
    <n v="1375"/>
    <n v="825"/>
    <x v="22"/>
  </r>
  <r>
    <x v="4"/>
    <s v="Sorocaba"/>
    <x v="0"/>
    <n v="3"/>
    <n v="12"/>
    <n v="306"/>
    <n v="183.60000000000002"/>
    <x v="22"/>
  </r>
  <r>
    <x v="4"/>
    <s v="Sorocaba"/>
    <x v="0"/>
    <n v="3"/>
    <n v="12"/>
    <n v="306"/>
    <n v="183.60000000000002"/>
    <x v="22"/>
  </r>
  <r>
    <x v="4"/>
    <s v="Sorocaba"/>
    <x v="0"/>
    <n v="3"/>
    <n v="12"/>
    <n v="306"/>
    <n v="183.60000000000002"/>
    <x v="22"/>
  </r>
  <r>
    <x v="3"/>
    <s v="Campinas"/>
    <x v="0"/>
    <n v="120"/>
    <n v="125"/>
    <n v="1659"/>
    <n v="10368.75"/>
    <x v="22"/>
  </r>
  <r>
    <x v="3"/>
    <s v="Campinas"/>
    <x v="0"/>
    <n v="120"/>
    <n v="125"/>
    <n v="2416"/>
    <n v="15100"/>
    <x v="22"/>
  </r>
  <r>
    <x v="3"/>
    <s v="Jundiaí"/>
    <x v="0"/>
    <n v="120"/>
    <n v="125"/>
    <n v="994"/>
    <n v="6212.5"/>
    <x v="22"/>
  </r>
  <r>
    <x v="3"/>
    <s v="Jundiaí"/>
    <x v="0"/>
    <n v="120"/>
    <n v="125"/>
    <n v="3165"/>
    <n v="19781.25"/>
    <x v="22"/>
  </r>
  <r>
    <x v="3"/>
    <s v="Santo André"/>
    <x v="0"/>
    <n v="120"/>
    <n v="125"/>
    <n v="579"/>
    <n v="3618.75"/>
    <x v="22"/>
  </r>
  <r>
    <x v="3"/>
    <s v="Santos"/>
    <x v="0"/>
    <n v="120"/>
    <n v="125"/>
    <n v="947"/>
    <n v="5918.75"/>
    <x v="22"/>
  </r>
  <r>
    <x v="0"/>
    <s v="Campinas"/>
    <x v="0"/>
    <n v="260"/>
    <n v="350"/>
    <n v="1778"/>
    <n v="31115"/>
    <x v="22"/>
  </r>
  <r>
    <x v="4"/>
    <s v="Campinas"/>
    <x v="1"/>
    <n v="3"/>
    <n v="12"/>
    <n v="908"/>
    <n v="544.80000000000007"/>
    <x v="22"/>
  </r>
  <r>
    <x v="3"/>
    <s v="Jundiaí"/>
    <x v="1"/>
    <n v="120"/>
    <n v="125"/>
    <n v="887"/>
    <n v="5543.75"/>
    <x v="22"/>
  </r>
  <r>
    <x v="3"/>
    <s v="Santo André"/>
    <x v="1"/>
    <n v="120"/>
    <n v="125"/>
    <n v="330"/>
    <n v="2062.5"/>
    <x v="22"/>
  </r>
  <r>
    <x v="3"/>
    <s v="Santos"/>
    <x v="1"/>
    <n v="120"/>
    <n v="125"/>
    <n v="2821"/>
    <n v="17631.25"/>
    <x v="22"/>
  </r>
  <r>
    <x v="3"/>
    <s v="Sorocaba"/>
    <x v="1"/>
    <n v="120"/>
    <n v="125"/>
    <n v="1023"/>
    <n v="0"/>
    <x v="22"/>
  </r>
  <r>
    <x v="3"/>
    <s v="Sorocaba"/>
    <x v="1"/>
    <n v="120"/>
    <n v="125"/>
    <n v="1023"/>
    <n v="0"/>
    <x v="22"/>
  </r>
  <r>
    <x v="3"/>
    <s v="Sorocaba"/>
    <x v="1"/>
    <n v="120"/>
    <n v="125"/>
    <n v="1482"/>
    <n v="9262.5"/>
    <x v="22"/>
  </r>
  <r>
    <x v="0"/>
    <s v="Santo André"/>
    <x v="4"/>
    <n v="4.9000000000000004"/>
    <n v="7"/>
    <n v="2022"/>
    <n v="0"/>
    <x v="22"/>
  </r>
  <r>
    <x v="1"/>
    <s v="Campinas"/>
    <x v="4"/>
    <n v="10"/>
    <n v="15"/>
    <n v="384"/>
    <n v="288"/>
    <x v="22"/>
  </r>
  <r>
    <x v="1"/>
    <s v="Campinas"/>
    <x v="4"/>
    <n v="10"/>
    <n v="15"/>
    <n v="384"/>
    <n v="288"/>
    <x v="22"/>
  </r>
  <r>
    <x v="2"/>
    <s v="Campinas"/>
    <x v="4"/>
    <n v="10"/>
    <n v="20"/>
    <n v="2646"/>
    <n v="2646"/>
    <x v="22"/>
  </r>
  <r>
    <x v="2"/>
    <s v="Campinas"/>
    <x v="4"/>
    <n v="10"/>
    <n v="20"/>
    <n v="2646"/>
    <n v="2646"/>
    <x v="22"/>
  </r>
  <r>
    <x v="1"/>
    <s v="Jundiaí"/>
    <x v="4"/>
    <n v="10"/>
    <n v="15"/>
    <n v="681"/>
    <n v="510.75"/>
    <x v="22"/>
  </r>
  <r>
    <x v="1"/>
    <s v="Jundiaí"/>
    <x v="4"/>
    <n v="10"/>
    <n v="15"/>
    <n v="681"/>
    <n v="510.75"/>
    <x v="22"/>
  </r>
  <r>
    <x v="0"/>
    <s v="Jundiaí"/>
    <x v="4"/>
    <n v="10"/>
    <n v="20"/>
    <n v="588"/>
    <n v="588"/>
    <x v="22"/>
  </r>
  <r>
    <x v="1"/>
    <s v="Santo André"/>
    <x v="4"/>
    <n v="10"/>
    <n v="15"/>
    <n v="600"/>
    <n v="0"/>
    <x v="22"/>
  </r>
  <r>
    <x v="1"/>
    <s v="Santo André"/>
    <x v="4"/>
    <n v="10"/>
    <n v="15"/>
    <n v="1925"/>
    <n v="0"/>
    <x v="22"/>
  </r>
  <r>
    <x v="1"/>
    <s v="Santo André"/>
    <x v="4"/>
    <n v="10"/>
    <n v="15"/>
    <n v="555"/>
    <n v="416.25"/>
    <x v="22"/>
  </r>
  <r>
    <x v="1"/>
    <s v="Santo André"/>
    <x v="4"/>
    <n v="10"/>
    <n v="15"/>
    <n v="2931"/>
    <n v="2198.25"/>
    <x v="22"/>
  </r>
  <r>
    <x v="0"/>
    <s v="Santo André"/>
    <x v="4"/>
    <n v="10"/>
    <n v="20"/>
    <n v="1421"/>
    <n v="1421"/>
    <x v="22"/>
  </r>
  <r>
    <x v="1"/>
    <s v="Santos"/>
    <x v="4"/>
    <n v="10"/>
    <n v="15"/>
    <n v="655"/>
    <n v="491.25"/>
    <x v="22"/>
  </r>
  <r>
    <x v="1"/>
    <s v="Santos"/>
    <x v="4"/>
    <n v="10"/>
    <n v="15"/>
    <n v="2861"/>
    <n v="2145.75"/>
    <x v="22"/>
  </r>
  <r>
    <x v="1"/>
    <s v="Santos"/>
    <x v="4"/>
    <n v="10"/>
    <n v="15"/>
    <n v="2861"/>
    <n v="2145.75"/>
    <x v="22"/>
  </r>
  <r>
    <x v="0"/>
    <s v="Santos"/>
    <x v="4"/>
    <n v="10"/>
    <n v="20"/>
    <n v="544"/>
    <n v="108.8"/>
    <x v="22"/>
  </r>
  <r>
    <x v="1"/>
    <s v="Sorocaba"/>
    <x v="4"/>
    <n v="10"/>
    <n v="15"/>
    <n v="3997"/>
    <n v="2997.75"/>
    <x v="22"/>
  </r>
  <r>
    <x v="4"/>
    <s v="Sorocaba"/>
    <x v="4"/>
    <n v="10"/>
    <n v="20"/>
    <n v="1033"/>
    <n v="1033"/>
    <x v="22"/>
  </r>
  <r>
    <x v="3"/>
    <s v="Campinas"/>
    <x v="4"/>
    <n v="120"/>
    <n v="125"/>
    <n v="1916"/>
    <n v="11975"/>
    <x v="22"/>
  </r>
  <r>
    <x v="3"/>
    <s v="Santo André"/>
    <x v="4"/>
    <n v="120"/>
    <n v="125"/>
    <n v="2438"/>
    <n v="15237.5"/>
    <x v="22"/>
  </r>
  <r>
    <x v="0"/>
    <s v="Campinas"/>
    <x v="2"/>
    <n v="5"/>
    <n v="7"/>
    <n v="1611"/>
    <n v="563.85"/>
    <x v="22"/>
  </r>
  <r>
    <x v="0"/>
    <s v="Jundiaí"/>
    <x v="2"/>
    <n v="5"/>
    <n v="7"/>
    <n v="125"/>
    <n v="43.75"/>
    <x v="22"/>
  </r>
  <r>
    <x v="1"/>
    <s v="Jundiaí"/>
    <x v="2"/>
    <n v="10"/>
    <n v="15"/>
    <n v="2116"/>
    <n v="1587"/>
    <x v="22"/>
  </r>
  <r>
    <x v="2"/>
    <s v="Campinas"/>
    <x v="2"/>
    <n v="250"/>
    <n v="300"/>
    <n v="1283"/>
    <n v="19245"/>
    <x v="22"/>
  </r>
  <r>
    <x v="2"/>
    <s v="Campinas"/>
    <x v="2"/>
    <n v="250"/>
    <n v="300"/>
    <n v="1283"/>
    <n v="19245"/>
    <x v="22"/>
  </r>
  <r>
    <x v="2"/>
    <s v="Jundiaí"/>
    <x v="2"/>
    <n v="250"/>
    <n v="300"/>
    <n v="334"/>
    <n v="5010"/>
    <x v="22"/>
  </r>
  <r>
    <x v="2"/>
    <s v="Santos"/>
    <x v="2"/>
    <n v="250"/>
    <n v="300"/>
    <n v="1100"/>
    <n v="16500"/>
    <x v="22"/>
  </r>
  <r>
    <x v="2"/>
    <s v="Sorocaba"/>
    <x v="2"/>
    <n v="250"/>
    <n v="300"/>
    <n v="1186"/>
    <n v="17790"/>
    <x v="22"/>
  </r>
  <r>
    <x v="2"/>
    <s v="Campinas"/>
    <x v="3"/>
    <n v="5"/>
    <n v="7"/>
    <n v="2349"/>
    <n v="822.15000000000009"/>
    <x v="22"/>
  </r>
  <r>
    <x v="2"/>
    <s v="Campinas"/>
    <x v="3"/>
    <n v="5"/>
    <n v="7"/>
    <n v="2349"/>
    <n v="822.15000000000009"/>
    <x v="22"/>
  </r>
  <r>
    <x v="0"/>
    <s v="Santos"/>
    <x v="3"/>
    <n v="5"/>
    <n v="7"/>
    <n v="946"/>
    <n v="331.1"/>
    <x v="22"/>
  </r>
  <r>
    <x v="0"/>
    <s v="Sorocaba"/>
    <x v="3"/>
    <n v="5"/>
    <n v="7"/>
    <n v="2136"/>
    <n v="747.6"/>
    <x v="22"/>
  </r>
  <r>
    <x v="1"/>
    <s v="Campinas"/>
    <x v="3"/>
    <n v="10"/>
    <n v="15"/>
    <n v="2152"/>
    <n v="0"/>
    <x v="22"/>
  </r>
  <r>
    <x v="0"/>
    <s v="Campinas"/>
    <x v="3"/>
    <n v="10"/>
    <n v="20"/>
    <n v="1802"/>
    <n v="1802"/>
    <x v="22"/>
  </r>
  <r>
    <x v="1"/>
    <s v="Santos"/>
    <x v="3"/>
    <n v="10"/>
    <n v="15"/>
    <n v="380"/>
    <n v="285"/>
    <x v="22"/>
  </r>
  <r>
    <x v="1"/>
    <s v="Sorocaba"/>
    <x v="3"/>
    <n v="10"/>
    <n v="15"/>
    <n v="549"/>
    <n v="0"/>
    <x v="22"/>
  </r>
  <r>
    <x v="1"/>
    <s v="Sorocaba"/>
    <x v="3"/>
    <n v="10"/>
    <n v="15"/>
    <n v="2261"/>
    <n v="1695.75"/>
    <x v="22"/>
  </r>
  <r>
    <x v="4"/>
    <s v="Santo André"/>
    <x v="3"/>
    <n v="250"/>
    <n v="300"/>
    <n v="808"/>
    <n v="12120"/>
    <x v="22"/>
  </r>
  <r>
    <x v="0"/>
    <s v="Santo André"/>
    <x v="3"/>
    <n v="260"/>
    <n v="350"/>
    <n v="266"/>
    <n v="4655"/>
    <x v="22"/>
  </r>
  <r>
    <x v="2"/>
    <s v="Campinas"/>
    <x v="6"/>
    <n v="250"/>
    <n v="300"/>
    <n v="2436"/>
    <n v="36540"/>
    <x v="22"/>
  </r>
  <r>
    <x v="0"/>
    <s v="Jundiaí"/>
    <x v="6"/>
    <n v="260"/>
    <n v="350"/>
    <n v="200"/>
    <n v="3500"/>
    <x v="22"/>
  </r>
  <r>
    <x v="2"/>
    <s v="Santos"/>
    <x v="6"/>
    <n v="260"/>
    <n v="350"/>
    <n v="1940"/>
    <n v="33950"/>
    <x v="22"/>
  </r>
  <r>
    <x v="4"/>
    <s v="Sorocaba"/>
    <x v="6"/>
    <n v="260"/>
    <n v="350"/>
    <n v="1281"/>
    <n v="22417.5"/>
    <x v="22"/>
  </r>
  <r>
    <x v="0"/>
    <s v="Campinas"/>
    <x v="0"/>
    <n v="10"/>
    <n v="20"/>
    <n v="1618"/>
    <n v="0"/>
    <x v="23"/>
  </r>
  <r>
    <x v="2"/>
    <s v="Santos"/>
    <x v="0"/>
    <n v="10"/>
    <n v="20"/>
    <n v="300"/>
    <n v="300"/>
    <x v="23"/>
  </r>
  <r>
    <x v="3"/>
    <s v="Campinas"/>
    <x v="0"/>
    <n v="120"/>
    <n v="125"/>
    <n v="1659"/>
    <n v="10368.75"/>
    <x v="23"/>
  </r>
  <r>
    <x v="3"/>
    <s v="Jundiaí"/>
    <x v="0"/>
    <n v="120"/>
    <n v="125"/>
    <n v="3165"/>
    <n v="19781.25"/>
    <x v="23"/>
  </r>
  <r>
    <x v="3"/>
    <s v="Santo André"/>
    <x v="0"/>
    <n v="120"/>
    <n v="125"/>
    <n v="579"/>
    <n v="3618.75"/>
    <x v="23"/>
  </r>
  <r>
    <x v="3"/>
    <s v="Santos"/>
    <x v="0"/>
    <n v="120"/>
    <n v="125"/>
    <n v="1987"/>
    <n v="12418.75"/>
    <x v="23"/>
  </r>
  <r>
    <x v="0"/>
    <s v="Jundiaí"/>
    <x v="1"/>
    <n v="10"/>
    <n v="20"/>
    <n v="1321"/>
    <n v="0"/>
    <x v="23"/>
  </r>
  <r>
    <x v="0"/>
    <s v="Santo André"/>
    <x v="1"/>
    <n v="10"/>
    <n v="20"/>
    <n v="1117"/>
    <n v="1117"/>
    <x v="23"/>
  </r>
  <r>
    <x v="0"/>
    <s v="Sorocaba"/>
    <x v="1"/>
    <n v="10"/>
    <n v="20"/>
    <n v="2521"/>
    <n v="2521"/>
    <x v="23"/>
  </r>
  <r>
    <x v="0"/>
    <s v="Santo André"/>
    <x v="4"/>
    <n v="5"/>
    <n v="7"/>
    <n v="1438"/>
    <n v="503.3"/>
    <x v="23"/>
  </r>
  <r>
    <x v="2"/>
    <s v="Santos"/>
    <x v="4"/>
    <n v="5"/>
    <n v="7"/>
    <n v="1493"/>
    <n v="0"/>
    <x v="23"/>
  </r>
  <r>
    <x v="1"/>
    <s v="Campinas"/>
    <x v="4"/>
    <n v="10"/>
    <n v="15"/>
    <n v="384"/>
    <n v="288"/>
    <x v="23"/>
  </r>
  <r>
    <x v="1"/>
    <s v="Jundiaí"/>
    <x v="4"/>
    <n v="10"/>
    <n v="15"/>
    <n v="681"/>
    <n v="510.75"/>
    <x v="23"/>
  </r>
  <r>
    <x v="1"/>
    <s v="Santo André"/>
    <x v="4"/>
    <n v="10"/>
    <n v="15"/>
    <n v="555"/>
    <n v="416.25"/>
    <x v="23"/>
  </r>
  <r>
    <x v="1"/>
    <s v="Santos"/>
    <x v="4"/>
    <n v="10"/>
    <n v="15"/>
    <n v="2861"/>
    <n v="2145.75"/>
    <x v="23"/>
  </r>
  <r>
    <x v="1"/>
    <s v="Sorocaba"/>
    <x v="4"/>
    <n v="10"/>
    <n v="15"/>
    <n v="3997"/>
    <n v="2997.75"/>
    <x v="23"/>
  </r>
  <r>
    <x v="2"/>
    <s v="Santo André"/>
    <x v="4"/>
    <n v="250"/>
    <n v="300"/>
    <n v="3495"/>
    <n v="52425"/>
    <x v="23"/>
  </r>
  <r>
    <x v="4"/>
    <s v="Santos"/>
    <x v="2"/>
    <n v="3"/>
    <n v="12"/>
    <n v="2340"/>
    <n v="1404"/>
    <x v="23"/>
  </r>
  <r>
    <x v="0"/>
    <s v="Jundiaí"/>
    <x v="2"/>
    <n v="5"/>
    <n v="7"/>
    <n v="200"/>
    <n v="70"/>
    <x v="23"/>
  </r>
  <r>
    <x v="2"/>
    <s v="Jundiaí"/>
    <x v="2"/>
    <n v="250"/>
    <n v="300"/>
    <n v="807"/>
    <n v="12105"/>
    <x v="23"/>
  </r>
  <r>
    <x v="0"/>
    <s v="Campinas"/>
    <x v="2"/>
    <n v="260"/>
    <n v="350"/>
    <n v="2227"/>
    <n v="38972.5"/>
    <x v="23"/>
  </r>
  <r>
    <x v="0"/>
    <s v="Jundiaí"/>
    <x v="2"/>
    <n v="260"/>
    <n v="350"/>
    <n v="766"/>
    <n v="13405"/>
    <x v="23"/>
  </r>
  <r>
    <x v="0"/>
    <s v="Santo André"/>
    <x v="2"/>
    <n v="260"/>
    <n v="350"/>
    <n v="982"/>
    <n v="17185"/>
    <x v="23"/>
  </r>
  <r>
    <x v="4"/>
    <s v="Sorocaba"/>
    <x v="2"/>
    <n v="260"/>
    <n v="350"/>
    <n v="1384"/>
    <n v="24220"/>
    <x v="23"/>
  </r>
  <r>
    <x v="4"/>
    <s v="Santo André"/>
    <x v="3"/>
    <n v="3"/>
    <n v="12"/>
    <n v="1956"/>
    <n v="1173.6000000000001"/>
    <x v="23"/>
  </r>
  <r>
    <x v="0"/>
    <s v="Campinas"/>
    <x v="3"/>
    <n v="5"/>
    <n v="7"/>
    <n v="300"/>
    <n v="105"/>
    <x v="23"/>
  </r>
  <r>
    <x v="4"/>
    <s v="Sorocaba"/>
    <x v="3"/>
    <n v="5"/>
    <n v="7"/>
    <n v="168"/>
    <n v="138.07499999999999"/>
    <x v="23"/>
  </r>
  <r>
    <x v="2"/>
    <s v="Campinas"/>
    <x v="3"/>
    <n v="250"/>
    <n v="300"/>
    <n v="873"/>
    <n v="13095"/>
    <x v="23"/>
  </r>
  <r>
    <x v="2"/>
    <s v="Santos"/>
    <x v="3"/>
    <n v="250"/>
    <n v="300"/>
    <n v="2565"/>
    <n v="38475"/>
    <x v="23"/>
  </r>
  <r>
    <x v="2"/>
    <s v="Sorocaba"/>
    <x v="3"/>
    <n v="250"/>
    <n v="300"/>
    <n v="2434"/>
    <n v="36510"/>
    <x v="23"/>
  </r>
  <r>
    <x v="2"/>
    <s v="Santos"/>
    <x v="3"/>
    <n v="260"/>
    <n v="350"/>
    <n v="2417"/>
    <n v="42297.5"/>
    <x v="23"/>
  </r>
  <r>
    <x v="4"/>
    <s v="Campinas"/>
    <x v="6"/>
    <n v="3"/>
    <n v="12"/>
    <n v="3244"/>
    <n v="1946.4"/>
    <x v="23"/>
  </r>
  <r>
    <x v="4"/>
    <s v="Jundiaí"/>
    <x v="6"/>
    <n v="3"/>
    <n v="12"/>
    <n v="2479"/>
    <n v="1487.4"/>
    <x v="23"/>
  </r>
  <r>
    <x v="4"/>
    <s v="Sorocaba"/>
    <x v="6"/>
    <n v="3"/>
    <n v="12"/>
    <n v="1734"/>
    <n v="1040.4000000000001"/>
    <x v="23"/>
  </r>
  <r>
    <x v="3"/>
    <s v="Santos"/>
    <x v="6"/>
    <n v="120"/>
    <n v="125"/>
    <n v="554"/>
    <n v="3462.5"/>
    <x v="23"/>
  </r>
  <r>
    <x v="0"/>
    <s v="Campinas"/>
    <x v="0"/>
    <n v="260"/>
    <n v="350"/>
    <n v="240"/>
    <n v="0"/>
    <x v="24"/>
  </r>
  <r>
    <x v="0"/>
    <s v="Jundiaí"/>
    <x v="0"/>
    <n v="260"/>
    <n v="350"/>
    <n v="1350"/>
    <n v="23625"/>
    <x v="24"/>
  </r>
  <r>
    <x v="0"/>
    <s v="Santo André"/>
    <x v="0"/>
    <n v="260"/>
    <n v="350"/>
    <n v="270"/>
    <n v="4725"/>
    <x v="24"/>
  </r>
  <r>
    <x v="2"/>
    <s v="Santos"/>
    <x v="0"/>
    <n v="260"/>
    <n v="350"/>
    <n v="1865"/>
    <n v="32637.5"/>
    <x v="24"/>
  </r>
  <r>
    <x v="4"/>
    <s v="Sorocaba"/>
    <x v="0"/>
    <n v="260"/>
    <n v="350"/>
    <n v="750"/>
    <n v="0"/>
    <x v="24"/>
  </r>
  <r>
    <x v="4"/>
    <s v="Campinas"/>
    <x v="1"/>
    <n v="3"/>
    <n v="12"/>
    <n v="1937"/>
    <n v="1162.2"/>
    <x v="24"/>
  </r>
  <r>
    <x v="4"/>
    <s v="Jundiaí"/>
    <x v="1"/>
    <n v="3"/>
    <n v="12"/>
    <n v="1116"/>
    <n v="669.6"/>
    <x v="24"/>
  </r>
  <r>
    <x v="4"/>
    <s v="Santo André"/>
    <x v="1"/>
    <n v="3"/>
    <n v="12"/>
    <n v="1858"/>
    <n v="111.48"/>
    <x v="24"/>
  </r>
  <r>
    <x v="4"/>
    <s v="Santos"/>
    <x v="1"/>
    <n v="3"/>
    <n v="12"/>
    <n v="727"/>
    <n v="436.20000000000005"/>
    <x v="24"/>
  </r>
  <r>
    <x v="4"/>
    <s v="Sorocaba"/>
    <x v="1"/>
    <n v="3"/>
    <n v="12"/>
    <n v="1865"/>
    <n v="1119"/>
    <x v="24"/>
  </r>
  <r>
    <x v="1"/>
    <s v="Santo André"/>
    <x v="4"/>
    <n v="10"/>
    <n v="15"/>
    <n v="1514"/>
    <n v="113.55"/>
    <x v="24"/>
  </r>
  <r>
    <x v="0"/>
    <s v="Santo André"/>
    <x v="4"/>
    <n v="10"/>
    <n v="20"/>
    <n v="360"/>
    <n v="360"/>
    <x v="24"/>
  </r>
  <r>
    <x v="3"/>
    <s v="Campinas"/>
    <x v="4"/>
    <n v="120"/>
    <n v="125"/>
    <n v="952"/>
    <n v="5950"/>
    <x v="24"/>
  </r>
  <r>
    <x v="3"/>
    <s v="Jundiaí"/>
    <x v="4"/>
    <n v="120"/>
    <n v="125"/>
    <n v="807"/>
    <n v="5043.75"/>
    <x v="24"/>
  </r>
  <r>
    <x v="3"/>
    <s v="Santo André"/>
    <x v="4"/>
    <n v="120"/>
    <n v="125"/>
    <n v="2755"/>
    <n v="17218.75"/>
    <x v="24"/>
  </r>
  <r>
    <x v="3"/>
    <s v="Santos"/>
    <x v="4"/>
    <n v="120"/>
    <n v="125"/>
    <n v="1804"/>
    <n v="0"/>
    <x v="24"/>
  </r>
  <r>
    <x v="3"/>
    <s v="Santos"/>
    <x v="4"/>
    <n v="120"/>
    <n v="125"/>
    <n v="1575"/>
    <n v="9843.75"/>
    <x v="24"/>
  </r>
  <r>
    <x v="0"/>
    <s v="Campinas"/>
    <x v="2"/>
    <n v="5"/>
    <n v="7"/>
    <n v="488"/>
    <n v="136.63999999999999"/>
    <x v="24"/>
  </r>
  <r>
    <x v="0"/>
    <s v="Jundiaí"/>
    <x v="2"/>
    <n v="5"/>
    <n v="7"/>
    <n v="958"/>
    <n v="335.3"/>
    <x v="24"/>
  </r>
  <r>
    <x v="0"/>
    <s v="Santo André"/>
    <x v="2"/>
    <n v="5"/>
    <n v="7"/>
    <n v="298"/>
    <n v="104.30000000000001"/>
    <x v="24"/>
  </r>
  <r>
    <x v="2"/>
    <s v="Santos"/>
    <x v="2"/>
    <n v="5"/>
    <n v="7"/>
    <n v="1368"/>
    <n v="478.8"/>
    <x v="24"/>
  </r>
  <r>
    <x v="4"/>
    <s v="Sorocaba"/>
    <x v="2"/>
    <n v="5"/>
    <n v="7"/>
    <n v="293"/>
    <n v="0"/>
    <x v="24"/>
  </r>
  <r>
    <x v="1"/>
    <s v="Jundiaí"/>
    <x v="2"/>
    <n v="10"/>
    <n v="15"/>
    <n v="278"/>
    <n v="0"/>
    <x v="24"/>
  </r>
  <r>
    <x v="0"/>
    <s v="Jundiaí"/>
    <x v="2"/>
    <n v="10"/>
    <n v="20"/>
    <n v="570"/>
    <n v="570"/>
    <x v="24"/>
  </r>
  <r>
    <x v="1"/>
    <s v="Campinas"/>
    <x v="3"/>
    <n v="10"/>
    <n v="15"/>
    <n v="2363"/>
    <n v="1772.25"/>
    <x v="24"/>
  </r>
  <r>
    <x v="0"/>
    <s v="Campinas"/>
    <x v="3"/>
    <n v="10"/>
    <n v="20"/>
    <n v="292"/>
    <n v="0"/>
    <x v="24"/>
  </r>
  <r>
    <x v="1"/>
    <s v="Santos"/>
    <x v="3"/>
    <n v="10"/>
    <n v="15"/>
    <n v="974"/>
    <n v="0"/>
    <x v="24"/>
  </r>
  <r>
    <x v="0"/>
    <s v="Santos"/>
    <x v="3"/>
    <n v="10"/>
    <n v="20"/>
    <n v="260"/>
    <n v="260"/>
    <x v="24"/>
  </r>
  <r>
    <x v="1"/>
    <s v="Sorocaba"/>
    <x v="3"/>
    <n v="10"/>
    <n v="15"/>
    <n v="2296"/>
    <n v="1722"/>
    <x v="24"/>
  </r>
  <r>
    <x v="4"/>
    <s v="Sorocaba"/>
    <x v="3"/>
    <n v="10"/>
    <n v="20"/>
    <n v="1303"/>
    <n v="1303"/>
    <x v="24"/>
  </r>
  <r>
    <x v="2"/>
    <s v="Santo André"/>
    <x v="3"/>
    <n v="250"/>
    <n v="300"/>
    <n v="2844"/>
    <n v="42660"/>
    <x v="24"/>
  </r>
  <r>
    <x v="2"/>
    <s v="Campinas"/>
    <x v="6"/>
    <n v="250"/>
    <n v="300"/>
    <n v="2001"/>
    <n v="0"/>
    <x v="24"/>
  </r>
  <r>
    <x v="2"/>
    <s v="Campinas"/>
    <x v="6"/>
    <n v="250"/>
    <n v="300"/>
    <n v="2659"/>
    <n v="39885"/>
    <x v="24"/>
  </r>
  <r>
    <x v="2"/>
    <s v="Santos"/>
    <x v="6"/>
    <n v="250"/>
    <n v="300"/>
    <n v="2747"/>
    <n v="41205"/>
    <x v="24"/>
  </r>
  <r>
    <x v="2"/>
    <s v="Sorocaba"/>
    <x v="6"/>
    <n v="250"/>
    <n v="300"/>
    <n v="959"/>
    <n v="14385"/>
    <x v="24"/>
  </r>
  <r>
    <x v="2"/>
    <s v="Campinas"/>
    <x v="0"/>
    <n v="250"/>
    <n v="300"/>
    <n v="888"/>
    <n v="13320"/>
    <x v="25"/>
  </r>
  <r>
    <x v="2"/>
    <s v="Jundiaí"/>
    <x v="0"/>
    <n v="250"/>
    <n v="300"/>
    <n v="259"/>
    <n v="3885"/>
    <x v="25"/>
  </r>
  <r>
    <x v="2"/>
    <s v="Santo André"/>
    <x v="0"/>
    <n v="250"/>
    <n v="300"/>
    <n v="2993"/>
    <n v="44895"/>
    <x v="25"/>
  </r>
  <r>
    <x v="2"/>
    <s v="Santos"/>
    <x v="0"/>
    <n v="250"/>
    <n v="300"/>
    <n v="1101"/>
    <n v="16515"/>
    <x v="25"/>
  </r>
  <r>
    <x v="2"/>
    <s v="Sorocaba"/>
    <x v="0"/>
    <n v="250"/>
    <n v="300"/>
    <n v="2475"/>
    <n v="37125"/>
    <x v="25"/>
  </r>
  <r>
    <x v="0"/>
    <s v="Campinas"/>
    <x v="1"/>
    <n v="260"/>
    <n v="350"/>
    <n v="923"/>
    <n v="16152.5"/>
    <x v="25"/>
  </r>
  <r>
    <x v="0"/>
    <s v="Jundiaí"/>
    <x v="1"/>
    <n v="260"/>
    <n v="350"/>
    <n v="792"/>
    <n v="13860"/>
    <x v="25"/>
  </r>
  <r>
    <x v="0"/>
    <s v="Santo André"/>
    <x v="1"/>
    <n v="260"/>
    <n v="350"/>
    <n v="1761"/>
    <n v="30817.5"/>
    <x v="25"/>
  </r>
  <r>
    <x v="0"/>
    <s v="Santos"/>
    <x v="1"/>
    <n v="260"/>
    <n v="350"/>
    <n v="1210"/>
    <n v="21175"/>
    <x v="25"/>
  </r>
  <r>
    <x v="0"/>
    <s v="Sorocaba"/>
    <x v="1"/>
    <n v="260"/>
    <n v="350"/>
    <n v="1790"/>
    <n v="31325"/>
    <x v="25"/>
  </r>
  <r>
    <x v="4"/>
    <s v="Campinas"/>
    <x v="4"/>
    <n v="3"/>
    <n v="12"/>
    <n v="598"/>
    <n v="0"/>
    <x v="25"/>
  </r>
  <r>
    <x v="4"/>
    <s v="Jundiaí"/>
    <x v="4"/>
    <n v="3"/>
    <n v="12"/>
    <n v="2161"/>
    <n v="0"/>
    <x v="25"/>
  </r>
  <r>
    <x v="4"/>
    <s v="Santo André"/>
    <x v="4"/>
    <n v="3"/>
    <n v="12"/>
    <n v="1465"/>
    <n v="879"/>
    <x v="25"/>
  </r>
  <r>
    <x v="4"/>
    <s v="Santos"/>
    <x v="4"/>
    <n v="3"/>
    <n v="12"/>
    <n v="500"/>
    <n v="300"/>
    <x v="25"/>
  </r>
  <r>
    <x v="4"/>
    <s v="Sorocaba"/>
    <x v="4"/>
    <n v="3"/>
    <n v="12"/>
    <n v="1967"/>
    <n v="1180.2"/>
    <x v="25"/>
  </r>
  <r>
    <x v="0"/>
    <s v="Santo André"/>
    <x v="4"/>
    <n v="10"/>
    <n v="20"/>
    <n v="973"/>
    <n v="973"/>
    <x v="25"/>
  </r>
  <r>
    <x v="3"/>
    <s v="Santo André"/>
    <x v="4"/>
    <n v="120"/>
    <n v="125"/>
    <n v="2992"/>
    <n v="18700"/>
    <x v="25"/>
  </r>
  <r>
    <x v="1"/>
    <s v="Campinas"/>
    <x v="2"/>
    <n v="10"/>
    <n v="15"/>
    <n v="1967"/>
    <n v="1475.25"/>
    <x v="25"/>
  </r>
  <r>
    <x v="1"/>
    <s v="Jundiaí"/>
    <x v="2"/>
    <n v="10"/>
    <n v="15"/>
    <n v="921"/>
    <n v="0"/>
    <x v="25"/>
  </r>
  <r>
    <x v="0"/>
    <s v="Jundiaí"/>
    <x v="2"/>
    <n v="10"/>
    <n v="20"/>
    <n v="1158"/>
    <n v="1158"/>
    <x v="25"/>
  </r>
  <r>
    <x v="1"/>
    <s v="Santo André"/>
    <x v="2"/>
    <n v="10"/>
    <n v="15"/>
    <n v="677"/>
    <n v="507.75"/>
    <x v="25"/>
  </r>
  <r>
    <x v="1"/>
    <s v="Santos"/>
    <x v="2"/>
    <n v="10"/>
    <n v="15"/>
    <n v="2214"/>
    <n v="1660.5"/>
    <x v="25"/>
  </r>
  <r>
    <x v="1"/>
    <s v="Sorocaba"/>
    <x v="2"/>
    <n v="10"/>
    <n v="15"/>
    <n v="2501"/>
    <n v="1875.75"/>
    <x v="25"/>
  </r>
  <r>
    <x v="3"/>
    <s v="Jundiaí"/>
    <x v="2"/>
    <n v="120"/>
    <n v="125"/>
    <n v="795"/>
    <n v="4968.75"/>
    <x v="25"/>
  </r>
  <r>
    <x v="0"/>
    <s v="Santo André"/>
    <x v="3"/>
    <n v="5"/>
    <n v="7"/>
    <n v="1579"/>
    <n v="552.65"/>
    <x v="25"/>
  </r>
  <r>
    <x v="0"/>
    <s v="Campinas"/>
    <x v="3"/>
    <n v="10"/>
    <n v="20"/>
    <n v="2428"/>
    <n v="2428"/>
    <x v="25"/>
  </r>
  <r>
    <x v="0"/>
    <s v="Santos"/>
    <x v="3"/>
    <n v="10"/>
    <n v="20"/>
    <n v="1122"/>
    <n v="1122"/>
    <x v="25"/>
  </r>
  <r>
    <x v="0"/>
    <s v="Sorocaba"/>
    <x v="3"/>
    <n v="10"/>
    <n v="20"/>
    <n v="1954"/>
    <n v="1954"/>
    <x v="25"/>
  </r>
  <r>
    <x v="3"/>
    <s v="Campinas"/>
    <x v="3"/>
    <n v="120"/>
    <n v="125"/>
    <n v="1774"/>
    <n v="11087.5"/>
    <x v="25"/>
  </r>
  <r>
    <x v="3"/>
    <s v="Santos"/>
    <x v="3"/>
    <n v="120"/>
    <n v="125"/>
    <n v="1114"/>
    <n v="6962.5"/>
    <x v="25"/>
  </r>
  <r>
    <x v="3"/>
    <s v="Santos"/>
    <x v="3"/>
    <n v="120"/>
    <n v="125"/>
    <n v="2385"/>
    <n v="14906.25"/>
    <x v="25"/>
  </r>
  <r>
    <x v="0"/>
    <s v="Campinas"/>
    <x v="6"/>
    <n v="5"/>
    <n v="7"/>
    <n v="1326"/>
    <n v="46.41"/>
    <x v="25"/>
  </r>
  <r>
    <x v="0"/>
    <s v="Jundiaí"/>
    <x v="6"/>
    <n v="5"/>
    <n v="7"/>
    <n v="263"/>
    <n v="9.2050000000000001"/>
    <x v="25"/>
  </r>
  <r>
    <x v="2"/>
    <s v="Santos"/>
    <x v="6"/>
    <n v="5"/>
    <n v="7"/>
    <n v="2903"/>
    <n v="1016.0500000000001"/>
    <x v="25"/>
  </r>
  <r>
    <x v="4"/>
    <s v="Sorocaba"/>
    <x v="6"/>
    <n v="5"/>
    <n v="7"/>
    <n v="1491"/>
    <n v="0"/>
    <x v="25"/>
  </r>
  <r>
    <x v="4"/>
    <s v="Campinas"/>
    <x v="0"/>
    <n v="3"/>
    <n v="12"/>
    <n v="3520"/>
    <n v="2112"/>
    <x v="26"/>
  </r>
  <r>
    <x v="4"/>
    <s v="Santo André"/>
    <x v="0"/>
    <n v="3"/>
    <n v="12"/>
    <n v="1953"/>
    <n v="0"/>
    <x v="26"/>
  </r>
  <r>
    <x v="3"/>
    <s v="Campinas"/>
    <x v="0"/>
    <n v="120"/>
    <n v="125"/>
    <n v="742"/>
    <n v="4637.5"/>
    <x v="26"/>
  </r>
  <r>
    <x v="3"/>
    <s v="Jundiaí"/>
    <x v="0"/>
    <n v="120"/>
    <n v="125"/>
    <n v="4219"/>
    <n v="0"/>
    <x v="26"/>
  </r>
  <r>
    <x v="3"/>
    <s v="Santos"/>
    <x v="0"/>
    <n v="120"/>
    <n v="125"/>
    <n v="1074"/>
    <n v="6712.5"/>
    <x v="26"/>
  </r>
  <r>
    <x v="0"/>
    <s v="Jundiaí"/>
    <x v="1"/>
    <n v="10"/>
    <n v="20"/>
    <n v="580"/>
    <n v="580"/>
    <x v="26"/>
  </r>
  <r>
    <x v="0"/>
    <s v="Santos"/>
    <x v="1"/>
    <n v="10"/>
    <n v="20"/>
    <n v="500"/>
    <n v="500"/>
    <x v="26"/>
  </r>
  <r>
    <x v="3"/>
    <s v="Santo André"/>
    <x v="1"/>
    <n v="120"/>
    <n v="125"/>
    <n v="3445"/>
    <n v="21531.25"/>
    <x v="26"/>
  </r>
  <r>
    <x v="3"/>
    <s v="Santos"/>
    <x v="1"/>
    <n v="120"/>
    <n v="125"/>
    <n v="4243"/>
    <n v="26518.75"/>
    <x v="26"/>
  </r>
  <r>
    <x v="0"/>
    <s v="Santo André"/>
    <x v="4"/>
    <n v="5"/>
    <n v="7"/>
    <n v="400"/>
    <n v="140"/>
    <x v="26"/>
  </r>
  <r>
    <x v="0"/>
    <s v="Campinas"/>
    <x v="4"/>
    <n v="10"/>
    <n v="20"/>
    <n v="3850"/>
    <n v="0"/>
    <x v="26"/>
  </r>
  <r>
    <x v="1"/>
    <s v="Jundiaí"/>
    <x v="4"/>
    <n v="10"/>
    <n v="15"/>
    <n v="510"/>
    <n v="382.5"/>
    <x v="26"/>
  </r>
  <r>
    <x v="1"/>
    <s v="Santo André"/>
    <x v="4"/>
    <n v="10"/>
    <n v="15"/>
    <n v="3675"/>
    <n v="2756.25"/>
    <x v="26"/>
  </r>
  <r>
    <x v="0"/>
    <s v="Santo André"/>
    <x v="4"/>
    <n v="10"/>
    <n v="20"/>
    <n v="606"/>
    <n v="606"/>
    <x v="26"/>
  </r>
  <r>
    <x v="1"/>
    <s v="Santos"/>
    <x v="4"/>
    <n v="10"/>
    <n v="15"/>
    <n v="2628"/>
    <n v="1971"/>
    <x v="26"/>
  </r>
  <r>
    <x v="4"/>
    <s v="Sorocaba"/>
    <x v="4"/>
    <n v="10"/>
    <n v="20"/>
    <n v="200"/>
    <n v="200"/>
    <x v="26"/>
  </r>
  <r>
    <x v="0"/>
    <s v="Jundiaí"/>
    <x v="2"/>
    <n v="5"/>
    <n v="7"/>
    <n v="1259"/>
    <n v="440.65000000000003"/>
    <x v="26"/>
  </r>
  <r>
    <x v="2"/>
    <s v="Campinas"/>
    <x v="2"/>
    <n v="250"/>
    <n v="300"/>
    <n v="1414"/>
    <n v="21210"/>
    <x v="26"/>
  </r>
  <r>
    <x v="2"/>
    <s v="Campinas"/>
    <x v="2"/>
    <n v="250"/>
    <n v="300"/>
    <n v="3802"/>
    <n v="57030"/>
    <x v="26"/>
  </r>
  <r>
    <x v="4"/>
    <s v="Santo André"/>
    <x v="2"/>
    <n v="250"/>
    <n v="300"/>
    <n v="2301"/>
    <n v="34515"/>
    <x v="26"/>
  </r>
  <r>
    <x v="2"/>
    <s v="Sorocaba"/>
    <x v="2"/>
    <n v="250"/>
    <n v="300"/>
    <n v="1773"/>
    <n v="26595"/>
    <x v="26"/>
  </r>
  <r>
    <x v="0"/>
    <s v="Jundiaí"/>
    <x v="2"/>
    <n v="260"/>
    <n v="350"/>
    <n v="1199"/>
    <n v="20982.5"/>
    <x v="26"/>
  </r>
  <r>
    <x v="0"/>
    <s v="Santos"/>
    <x v="2"/>
    <n v="260"/>
    <n v="350"/>
    <n v="980"/>
    <n v="17150"/>
    <x v="26"/>
  </r>
  <r>
    <x v="0"/>
    <s v="Campinas"/>
    <x v="3"/>
    <n v="5"/>
    <n v="7"/>
    <n v="723"/>
    <n v="253.05"/>
    <x v="26"/>
  </r>
  <r>
    <x v="0"/>
    <s v="Santos"/>
    <x v="3"/>
    <n v="5"/>
    <n v="7"/>
    <n v="500"/>
    <n v="175"/>
    <x v="26"/>
  </r>
  <r>
    <x v="4"/>
    <s v="Sorocaba"/>
    <x v="3"/>
    <n v="5"/>
    <n v="7"/>
    <n v="540"/>
    <n v="189"/>
    <x v="26"/>
  </r>
  <r>
    <x v="1"/>
    <s v="Campinas"/>
    <x v="3"/>
    <n v="10"/>
    <n v="15"/>
    <n v="1614"/>
    <n v="1210.5"/>
    <x v="26"/>
  </r>
  <r>
    <x v="1"/>
    <s v="Sorocaba"/>
    <x v="3"/>
    <n v="10"/>
    <n v="15"/>
    <n v="3801"/>
    <n v="2850.75"/>
    <x v="26"/>
  </r>
  <r>
    <x v="2"/>
    <s v="Santos"/>
    <x v="3"/>
    <n v="250"/>
    <n v="300"/>
    <n v="1607"/>
    <n v="24105"/>
    <x v="26"/>
  </r>
  <r>
    <x v="0"/>
    <s v="Santo André"/>
    <x v="3"/>
    <n v="260"/>
    <n v="350"/>
    <n v="1351"/>
    <n v="23642.5"/>
    <x v="26"/>
  </r>
  <r>
    <x v="4"/>
    <s v="Jundiaí"/>
    <x v="6"/>
    <n v="3"/>
    <n v="12"/>
    <n v="2838"/>
    <n v="0"/>
    <x v="26"/>
  </r>
  <r>
    <x v="4"/>
    <s v="Santos"/>
    <x v="6"/>
    <n v="3"/>
    <n v="12"/>
    <n v="1916"/>
    <n v="1149.6000000000001"/>
    <x v="26"/>
  </r>
  <r>
    <x v="4"/>
    <s v="Sorocaba"/>
    <x v="6"/>
    <n v="3"/>
    <n v="12"/>
    <n v="1738"/>
    <n v="1042.8"/>
    <x v="26"/>
  </r>
  <r>
    <x v="0"/>
    <s v="Campinas"/>
    <x v="6"/>
    <n v="260"/>
    <n v="350"/>
    <n v="943"/>
    <n v="16502.5"/>
    <x v="26"/>
  </r>
  <r>
    <x v="4"/>
    <s v="Sorocaba"/>
    <x v="6"/>
    <n v="260"/>
    <n v="350"/>
    <n v="574"/>
    <n v="10045"/>
    <x v="26"/>
  </r>
  <r>
    <x v="2"/>
    <s v="Santos"/>
    <x v="0"/>
    <n v="10"/>
    <n v="20"/>
    <n v="2039"/>
    <n v="2039"/>
    <x v="27"/>
  </r>
  <r>
    <x v="3"/>
    <s v="Campinas"/>
    <x v="0"/>
    <n v="120"/>
    <n v="125"/>
    <n v="1645"/>
    <n v="10281.25"/>
    <x v="27"/>
  </r>
  <r>
    <x v="3"/>
    <s v="Jundiaí"/>
    <x v="0"/>
    <n v="120"/>
    <n v="125"/>
    <n v="2276"/>
    <n v="14225"/>
    <x v="27"/>
  </r>
  <r>
    <x v="3"/>
    <s v="Santo André"/>
    <x v="0"/>
    <n v="120"/>
    <n v="125"/>
    <n v="2844"/>
    <n v="17775"/>
    <x v="27"/>
  </r>
  <r>
    <x v="3"/>
    <s v="Sorocaba"/>
    <x v="0"/>
    <n v="120"/>
    <n v="125"/>
    <n v="1433"/>
    <n v="8956.25"/>
    <x v="27"/>
  </r>
  <r>
    <x v="0"/>
    <s v="Campinas"/>
    <x v="1"/>
    <n v="10"/>
    <n v="20"/>
    <n v="831"/>
    <n v="831"/>
    <x v="27"/>
  </r>
  <r>
    <x v="0"/>
    <s v="Jundiaí"/>
    <x v="1"/>
    <n v="10"/>
    <n v="20"/>
    <n v="663"/>
    <n v="663"/>
    <x v="27"/>
  </r>
  <r>
    <x v="0"/>
    <s v="Santo André"/>
    <x v="1"/>
    <n v="10"/>
    <n v="20"/>
    <n v="1743"/>
    <n v="0"/>
    <x v="27"/>
  </r>
  <r>
    <x v="0"/>
    <s v="Sorocaba"/>
    <x v="1"/>
    <n v="10"/>
    <n v="20"/>
    <n v="1563"/>
    <n v="1563"/>
    <x v="27"/>
  </r>
  <r>
    <x v="0"/>
    <s v="Santo André"/>
    <x v="4"/>
    <n v="5"/>
    <n v="7"/>
    <n v="2327"/>
    <n v="814.45"/>
    <x v="27"/>
  </r>
  <r>
    <x v="0"/>
    <s v="Santos"/>
    <x v="4"/>
    <n v="5"/>
    <n v="7"/>
    <n v="362"/>
    <n v="12.67"/>
    <x v="27"/>
  </r>
  <r>
    <x v="1"/>
    <s v="Campinas"/>
    <x v="4"/>
    <n v="10"/>
    <n v="15"/>
    <n v="1262"/>
    <n v="946.5"/>
    <x v="27"/>
  </r>
  <r>
    <x v="1"/>
    <s v="Jundiaí"/>
    <x v="4"/>
    <n v="10"/>
    <n v="15"/>
    <n v="1530"/>
    <n v="1147.5"/>
    <x v="27"/>
  </r>
  <r>
    <x v="1"/>
    <s v="Santo André"/>
    <x v="4"/>
    <n v="10"/>
    <n v="15"/>
    <n v="790"/>
    <n v="592.5"/>
    <x v="27"/>
  </r>
  <r>
    <x v="1"/>
    <s v="Santos"/>
    <x v="4"/>
    <n v="10"/>
    <n v="15"/>
    <n v="245"/>
    <n v="183.75"/>
    <x v="27"/>
  </r>
  <r>
    <x v="1"/>
    <s v="Sorocaba"/>
    <x v="4"/>
    <n v="10"/>
    <n v="15"/>
    <n v="2826"/>
    <n v="2119.5"/>
    <x v="27"/>
  </r>
  <r>
    <x v="2"/>
    <s v="Santo André"/>
    <x v="4"/>
    <n v="250"/>
    <n v="300"/>
    <n v="2918"/>
    <n v="43770"/>
    <x v="27"/>
  </r>
  <r>
    <x v="4"/>
    <s v="Santos"/>
    <x v="2"/>
    <n v="3"/>
    <n v="12"/>
    <n v="2661"/>
    <n v="1596.6000000000001"/>
    <x v="27"/>
  </r>
  <r>
    <x v="0"/>
    <s v="Jundiaí"/>
    <x v="2"/>
    <n v="5"/>
    <n v="7"/>
    <n v="1095"/>
    <n v="383.25"/>
    <x v="27"/>
  </r>
  <r>
    <x v="2"/>
    <s v="Campinas"/>
    <x v="2"/>
    <n v="250"/>
    <n v="300"/>
    <n v="1728"/>
    <n v="25920"/>
    <x v="27"/>
  </r>
  <r>
    <x v="0"/>
    <s v="Campinas"/>
    <x v="2"/>
    <n v="260"/>
    <n v="350"/>
    <n v="200"/>
    <n v="3500"/>
    <x v="27"/>
  </r>
  <r>
    <x v="0"/>
    <s v="Jundiaí"/>
    <x v="2"/>
    <n v="260"/>
    <n v="350"/>
    <n v="240"/>
    <n v="4200"/>
    <x v="27"/>
  </r>
  <r>
    <x v="0"/>
    <s v="Santo André"/>
    <x v="2"/>
    <n v="260"/>
    <n v="350"/>
    <n v="2313"/>
    <n v="40477.5"/>
    <x v="27"/>
  </r>
  <r>
    <x v="0"/>
    <s v="Sorocaba"/>
    <x v="2"/>
    <n v="260"/>
    <n v="350"/>
    <n v="1666"/>
    <n v="29155"/>
    <x v="27"/>
  </r>
  <r>
    <x v="0"/>
    <s v="Campinas"/>
    <x v="3"/>
    <n v="5"/>
    <n v="7"/>
    <n v="257"/>
    <n v="71.959999999999994"/>
    <x v="27"/>
  </r>
  <r>
    <x v="4"/>
    <s v="Sorocaba"/>
    <x v="3"/>
    <n v="5"/>
    <n v="7"/>
    <n v="1030"/>
    <n v="36.049999999999997"/>
    <x v="27"/>
  </r>
  <r>
    <x v="2"/>
    <s v="Campinas"/>
    <x v="3"/>
    <n v="250"/>
    <n v="300"/>
    <n v="1702"/>
    <n v="25530"/>
    <x v="27"/>
  </r>
  <r>
    <x v="2"/>
    <s v="Santos"/>
    <x v="3"/>
    <n v="250"/>
    <n v="300"/>
    <n v="591"/>
    <n v="0"/>
    <x v="27"/>
  </r>
  <r>
    <x v="2"/>
    <s v="Sorocaba"/>
    <x v="3"/>
    <n v="250"/>
    <n v="300"/>
    <n v="918"/>
    <n v="13770"/>
    <x v="27"/>
  </r>
  <r>
    <x v="2"/>
    <s v="Santos"/>
    <x v="3"/>
    <n v="260"/>
    <n v="350"/>
    <n v="810"/>
    <n v="14175"/>
    <x v="27"/>
  </r>
  <r>
    <x v="4"/>
    <s v="Campinas"/>
    <x v="6"/>
    <n v="3"/>
    <n v="12"/>
    <n v="2109"/>
    <n v="1265.4000000000001"/>
    <x v="27"/>
  </r>
  <r>
    <x v="4"/>
    <s v="Jundiaí"/>
    <x v="6"/>
    <n v="3"/>
    <n v="12"/>
    <n v="880"/>
    <n v="528"/>
    <x v="27"/>
  </r>
  <r>
    <x v="4"/>
    <s v="Santo André"/>
    <x v="6"/>
    <n v="3"/>
    <n v="12"/>
    <n v="1806"/>
    <n v="1083.6000000000001"/>
    <x v="27"/>
  </r>
  <r>
    <x v="4"/>
    <s v="Sorocaba"/>
    <x v="6"/>
    <n v="3"/>
    <n v="12"/>
    <n v="866"/>
    <n v="519.6"/>
    <x v="27"/>
  </r>
  <r>
    <x v="3"/>
    <s v="Santos"/>
    <x v="6"/>
    <n v="120"/>
    <n v="125"/>
    <n v="341"/>
    <n v="2131.25"/>
    <x v="27"/>
  </r>
  <r>
    <x v="0"/>
    <s v="Campinas"/>
    <x v="0"/>
    <n v="5"/>
    <n v="7"/>
    <n v="1135"/>
    <n v="0"/>
    <x v="28"/>
  </r>
  <r>
    <x v="0"/>
    <s v="Santo André"/>
    <x v="0"/>
    <n v="5"/>
    <n v="7"/>
    <n v="908"/>
    <n v="317.8"/>
    <x v="28"/>
  </r>
  <r>
    <x v="4"/>
    <s v="Sorocaba"/>
    <x v="0"/>
    <n v="5"/>
    <n v="7"/>
    <n v="1190"/>
    <n v="416.5"/>
    <x v="28"/>
  </r>
  <r>
    <x v="1"/>
    <s v="Campinas"/>
    <x v="0"/>
    <n v="10"/>
    <n v="15"/>
    <n v="2844"/>
    <n v="2133"/>
    <x v="28"/>
  </r>
  <r>
    <x v="0"/>
    <s v="Campinas"/>
    <x v="0"/>
    <n v="10"/>
    <n v="20"/>
    <n v="708"/>
    <n v="708"/>
    <x v="28"/>
  </r>
  <r>
    <x v="0"/>
    <s v="Jundiaí"/>
    <x v="0"/>
    <n v="10"/>
    <n v="20"/>
    <n v="200"/>
    <n v="200"/>
    <x v="28"/>
  </r>
  <r>
    <x v="0"/>
    <s v="Santo André"/>
    <x v="0"/>
    <n v="10"/>
    <n v="20"/>
    <n v="1282"/>
    <n v="1282"/>
    <x v="28"/>
  </r>
  <r>
    <x v="0"/>
    <s v="Santos"/>
    <x v="0"/>
    <n v="10"/>
    <n v="20"/>
    <n v="1038"/>
    <n v="1038"/>
    <x v="28"/>
  </r>
  <r>
    <x v="0"/>
    <s v="Sorocaba"/>
    <x v="0"/>
    <n v="10"/>
    <n v="20"/>
    <n v="1899"/>
    <n v="0"/>
    <x v="28"/>
  </r>
  <r>
    <x v="2"/>
    <s v="Campinas"/>
    <x v="0"/>
    <n v="250"/>
    <n v="300"/>
    <n v="1094"/>
    <n v="16410"/>
    <x v="28"/>
  </r>
  <r>
    <x v="2"/>
    <s v="Santos"/>
    <x v="0"/>
    <n v="250"/>
    <n v="300"/>
    <n v="2460"/>
    <n v="36900"/>
    <x v="28"/>
  </r>
  <r>
    <x v="1"/>
    <s v="Jundiaí"/>
    <x v="1"/>
    <n v="10"/>
    <n v="15"/>
    <n v="888"/>
    <n v="0"/>
    <x v="28"/>
  </r>
  <r>
    <x v="1"/>
    <s v="Santo André"/>
    <x v="1"/>
    <n v="10"/>
    <n v="15"/>
    <n v="2567"/>
    <n v="1925.25"/>
    <x v="28"/>
  </r>
  <r>
    <x v="1"/>
    <s v="Santos"/>
    <x v="1"/>
    <n v="10"/>
    <n v="15"/>
    <n v="2470"/>
    <n v="0"/>
    <x v="28"/>
  </r>
  <r>
    <x v="1"/>
    <s v="Sorocaba"/>
    <x v="1"/>
    <n v="10"/>
    <n v="15"/>
    <n v="2178"/>
    <n v="0"/>
    <x v="28"/>
  </r>
  <r>
    <x v="2"/>
    <s v="Jundiaí"/>
    <x v="1"/>
    <n v="250"/>
    <n v="300"/>
    <n v="689"/>
    <n v="10335"/>
    <x v="28"/>
  </r>
  <r>
    <x v="4"/>
    <s v="Santo André"/>
    <x v="1"/>
    <n v="250"/>
    <n v="300"/>
    <n v="3000"/>
    <n v="14865"/>
    <x v="28"/>
  </r>
  <r>
    <x v="2"/>
    <s v="Sorocaba"/>
    <x v="1"/>
    <n v="250"/>
    <n v="300"/>
    <n v="448"/>
    <n v="6720"/>
    <x v="28"/>
  </r>
  <r>
    <x v="0"/>
    <s v="Santos"/>
    <x v="1"/>
    <n v="260"/>
    <n v="350"/>
    <n v="886"/>
    <n v="15505"/>
    <x v="28"/>
  </r>
  <r>
    <x v="4"/>
    <s v="Jundiaí"/>
    <x v="4"/>
    <n v="3"/>
    <n v="12"/>
    <n v="1545"/>
    <n v="0"/>
    <x v="28"/>
  </r>
  <r>
    <x v="4"/>
    <s v="Santo André"/>
    <x v="4"/>
    <n v="3"/>
    <n v="12"/>
    <n v="1142"/>
    <n v="137.04"/>
    <x v="28"/>
  </r>
  <r>
    <x v="4"/>
    <s v="Santos"/>
    <x v="4"/>
    <n v="3"/>
    <n v="12"/>
    <n v="604"/>
    <n v="362.40000000000003"/>
    <x v="28"/>
  </r>
  <r>
    <x v="0"/>
    <s v="Campinas"/>
    <x v="4"/>
    <n v="5"/>
    <n v="7"/>
    <n v="1135"/>
    <n v="0"/>
    <x v="28"/>
  </r>
  <r>
    <x v="0"/>
    <s v="Jundiaí"/>
    <x v="4"/>
    <n v="5"/>
    <n v="7"/>
    <n v="300"/>
    <n v="105"/>
    <x v="28"/>
  </r>
  <r>
    <x v="0"/>
    <s v="Santo André"/>
    <x v="4"/>
    <n v="5"/>
    <n v="7"/>
    <n v="2907"/>
    <n v="1017.45"/>
    <x v="28"/>
  </r>
  <r>
    <x v="2"/>
    <s v="Santos"/>
    <x v="4"/>
    <n v="5"/>
    <n v="7"/>
    <n v="1498"/>
    <n v="524.30000000000007"/>
    <x v="28"/>
  </r>
  <r>
    <x v="4"/>
    <s v="Sorocaba"/>
    <x v="4"/>
    <n v="5"/>
    <n v="7"/>
    <n v="1190"/>
    <n v="416.5"/>
    <x v="28"/>
  </r>
  <r>
    <x v="3"/>
    <s v="Santo André"/>
    <x v="4"/>
    <n v="120"/>
    <n v="125"/>
    <n v="727"/>
    <n v="4543.75"/>
    <x v="28"/>
  </r>
  <r>
    <x v="2"/>
    <s v="Santo André"/>
    <x v="4"/>
    <n v="250"/>
    <n v="300"/>
    <n v="991"/>
    <n v="14865"/>
    <x v="28"/>
  </r>
  <r>
    <x v="0"/>
    <s v="Campinas"/>
    <x v="4"/>
    <n v="260"/>
    <n v="350"/>
    <n v="50"/>
    <n v="875"/>
    <x v="28"/>
  </r>
  <r>
    <x v="0"/>
    <s v="Jundiaí"/>
    <x v="4"/>
    <n v="260"/>
    <n v="350"/>
    <n v="1006"/>
    <n v="0"/>
    <x v="28"/>
  </r>
  <r>
    <x v="0"/>
    <s v="Santo André"/>
    <x v="4"/>
    <n v="260"/>
    <n v="350"/>
    <n v="602"/>
    <n v="10535"/>
    <x v="28"/>
  </r>
  <r>
    <x v="0"/>
    <s v="Santo André"/>
    <x v="4"/>
    <n v="260"/>
    <n v="350"/>
    <n v="602"/>
    <n v="10535"/>
    <x v="28"/>
  </r>
  <r>
    <x v="4"/>
    <s v="Sorocaba"/>
    <x v="4"/>
    <n v="260"/>
    <n v="350"/>
    <n v="1496"/>
    <n v="26180"/>
    <x v="28"/>
  </r>
  <r>
    <x v="4"/>
    <s v="Campinas"/>
    <x v="2"/>
    <n v="3"/>
    <n v="12"/>
    <n v="2518"/>
    <n v="0"/>
    <x v="28"/>
  </r>
  <r>
    <x v="4"/>
    <s v="Jundiaí"/>
    <x v="2"/>
    <n v="3"/>
    <n v="12"/>
    <n v="1545"/>
    <n v="0"/>
    <x v="28"/>
  </r>
  <r>
    <x v="4"/>
    <s v="Santo André"/>
    <x v="2"/>
    <n v="3"/>
    <n v="12"/>
    <n v="1142"/>
    <n v="137.04"/>
    <x v="28"/>
  </r>
  <r>
    <x v="4"/>
    <s v="Santos"/>
    <x v="2"/>
    <n v="3"/>
    <n v="12"/>
    <n v="604"/>
    <n v="362.40000000000003"/>
    <x v="28"/>
  </r>
  <r>
    <x v="4"/>
    <s v="Sorocaba"/>
    <x v="2"/>
    <n v="3"/>
    <n v="12"/>
    <n v="1901"/>
    <n v="1140.6000000000001"/>
    <x v="28"/>
  </r>
  <r>
    <x v="0"/>
    <s v="Campinas"/>
    <x v="2"/>
    <n v="10"/>
    <n v="20"/>
    <n v="708"/>
    <n v="708"/>
    <x v="28"/>
  </r>
  <r>
    <x v="0"/>
    <s v="Jundiaí"/>
    <x v="2"/>
    <n v="10"/>
    <n v="20"/>
    <n v="1366"/>
    <n v="1366"/>
    <x v="28"/>
  </r>
  <r>
    <x v="0"/>
    <s v="Santo André"/>
    <x v="2"/>
    <n v="10"/>
    <n v="20"/>
    <n v="1282"/>
    <n v="1282"/>
    <x v="28"/>
  </r>
  <r>
    <x v="1"/>
    <s v="Santos"/>
    <x v="2"/>
    <n v="10"/>
    <n v="15"/>
    <n v="2470"/>
    <n v="0"/>
    <x v="28"/>
  </r>
  <r>
    <x v="0"/>
    <s v="Sorocaba"/>
    <x v="2"/>
    <n v="10"/>
    <n v="20"/>
    <n v="1899"/>
    <n v="0"/>
    <x v="28"/>
  </r>
  <r>
    <x v="3"/>
    <s v="Jundiaí"/>
    <x v="2"/>
    <n v="120"/>
    <n v="125"/>
    <n v="1570"/>
    <n v="9812.5"/>
    <x v="28"/>
  </r>
  <r>
    <x v="2"/>
    <s v="Jundiaí"/>
    <x v="2"/>
    <n v="250"/>
    <n v="300"/>
    <n v="689"/>
    <n v="10335"/>
    <x v="28"/>
  </r>
  <r>
    <x v="0"/>
    <s v="Jundiaí"/>
    <x v="2"/>
    <n v="260"/>
    <n v="350"/>
    <n v="1006"/>
    <n v="0"/>
    <x v="28"/>
  </r>
  <r>
    <x v="4"/>
    <s v="Campinas"/>
    <x v="3"/>
    <n v="3"/>
    <n v="12"/>
    <n v="2518"/>
    <n v="0"/>
    <x v="28"/>
  </r>
  <r>
    <x v="4"/>
    <s v="Sorocaba"/>
    <x v="3"/>
    <n v="3"/>
    <n v="12"/>
    <n v="1901"/>
    <n v="1140.6000000000001"/>
    <x v="28"/>
  </r>
  <r>
    <x v="0"/>
    <s v="Santos"/>
    <x v="3"/>
    <n v="10"/>
    <n v="20"/>
    <n v="1038"/>
    <n v="1038"/>
    <x v="28"/>
  </r>
  <r>
    <x v="3"/>
    <s v="Campinas"/>
    <x v="3"/>
    <n v="120"/>
    <n v="125"/>
    <n v="1583"/>
    <n v="9893.75"/>
    <x v="28"/>
  </r>
  <r>
    <x v="3"/>
    <s v="Santos"/>
    <x v="3"/>
    <n v="120"/>
    <n v="125"/>
    <n v="662"/>
    <n v="4137.5"/>
    <x v="28"/>
  </r>
  <r>
    <x v="3"/>
    <s v="Sorocaba"/>
    <x v="3"/>
    <n v="120"/>
    <n v="125"/>
    <n v="787"/>
    <n v="4918.75"/>
    <x v="28"/>
  </r>
  <r>
    <x v="2"/>
    <s v="Campinas"/>
    <x v="3"/>
    <n v="250"/>
    <n v="300"/>
    <n v="1094"/>
    <n v="16410"/>
    <x v="28"/>
  </r>
  <r>
    <x v="2"/>
    <s v="Santos"/>
    <x v="3"/>
    <n v="250"/>
    <n v="300"/>
    <n v="2460"/>
    <n v="36900"/>
    <x v="28"/>
  </r>
  <r>
    <x v="2"/>
    <s v="Sorocaba"/>
    <x v="3"/>
    <n v="250"/>
    <n v="300"/>
    <n v="448"/>
    <n v="6720"/>
    <x v="28"/>
  </r>
  <r>
    <x v="0"/>
    <s v="Campinas"/>
    <x v="3"/>
    <n v="260"/>
    <n v="350"/>
    <n v="20"/>
    <n v="0"/>
    <x v="28"/>
  </r>
  <r>
    <x v="0"/>
    <s v="Santos"/>
    <x v="3"/>
    <n v="260"/>
    <n v="350"/>
    <n v="886"/>
    <n v="15505"/>
    <x v="28"/>
  </r>
  <r>
    <x v="4"/>
    <s v="Sorocaba"/>
    <x v="3"/>
    <n v="260"/>
    <n v="350"/>
    <n v="1496"/>
    <n v="26180"/>
    <x v="28"/>
  </r>
  <r>
    <x v="0"/>
    <s v="Jundiaí"/>
    <x v="6"/>
    <n v="5"/>
    <n v="7"/>
    <n v="200"/>
    <n v="70"/>
    <x v="28"/>
  </r>
  <r>
    <x v="2"/>
    <s v="Santos"/>
    <x v="6"/>
    <n v="5"/>
    <n v="7"/>
    <n v="1498"/>
    <n v="524.30000000000007"/>
    <x v="28"/>
  </r>
  <r>
    <x v="1"/>
    <s v="Campinas"/>
    <x v="6"/>
    <n v="10"/>
    <n v="15"/>
    <n v="2844"/>
    <n v="2133"/>
    <x v="28"/>
  </r>
  <r>
    <x v="1"/>
    <s v="Jundiaí"/>
    <x v="6"/>
    <n v="10"/>
    <n v="15"/>
    <n v="888"/>
    <n v="0"/>
    <x v="28"/>
  </r>
  <r>
    <x v="1"/>
    <s v="Santo André"/>
    <x v="6"/>
    <n v="10"/>
    <n v="15"/>
    <n v="2567"/>
    <n v="1925.25"/>
    <x v="28"/>
  </r>
  <r>
    <x v="1"/>
    <s v="Sorocaba"/>
    <x v="6"/>
    <n v="10"/>
    <n v="15"/>
    <n v="2178"/>
    <n v="0"/>
    <x v="28"/>
  </r>
  <r>
    <x v="3"/>
    <s v="Campinas"/>
    <x v="6"/>
    <n v="120"/>
    <n v="125"/>
    <n v="1583"/>
    <n v="9893.75"/>
    <x v="28"/>
  </r>
  <r>
    <x v="3"/>
    <s v="Jundiaí"/>
    <x v="6"/>
    <n v="120"/>
    <n v="125"/>
    <n v="1570"/>
    <n v="9812.5"/>
    <x v="28"/>
  </r>
  <r>
    <x v="4"/>
    <s v="Santo André"/>
    <x v="6"/>
    <n v="120"/>
    <n v="125"/>
    <n v="727"/>
    <n v="4543.75"/>
    <x v="28"/>
  </r>
  <r>
    <x v="3"/>
    <s v="Santos"/>
    <x v="6"/>
    <n v="120"/>
    <n v="125"/>
    <n v="662"/>
    <n v="4137.5"/>
    <x v="28"/>
  </r>
  <r>
    <x v="3"/>
    <s v="Sorocaba"/>
    <x v="6"/>
    <n v="120"/>
    <n v="125"/>
    <n v="787"/>
    <n v="4918.75"/>
    <x v="28"/>
  </r>
  <r>
    <x v="0"/>
    <s v="Jundiaí"/>
    <x v="0"/>
    <n v="5"/>
    <n v="7"/>
    <n v="200"/>
    <n v="0"/>
    <x v="29"/>
  </r>
  <r>
    <x v="2"/>
    <s v="Santos"/>
    <x v="0"/>
    <n v="5"/>
    <n v="7"/>
    <n v="1683"/>
    <n v="589.05000000000007"/>
    <x v="29"/>
  </r>
  <r>
    <x v="0"/>
    <s v="Sorocaba"/>
    <x v="0"/>
    <n v="5"/>
    <n v="7"/>
    <n v="421"/>
    <n v="147.35"/>
    <x v="29"/>
  </r>
  <r>
    <x v="1"/>
    <s v="Campinas"/>
    <x v="0"/>
    <n v="10"/>
    <n v="15"/>
    <n v="1630"/>
    <n v="1222.5"/>
    <x v="29"/>
  </r>
  <r>
    <x v="1"/>
    <s v="Santo André"/>
    <x v="0"/>
    <n v="10"/>
    <n v="15"/>
    <n v="3199"/>
    <n v="2399.25"/>
    <x v="29"/>
  </r>
  <r>
    <x v="2"/>
    <s v="Campinas"/>
    <x v="0"/>
    <n v="250"/>
    <n v="300"/>
    <n v="2811"/>
    <n v="42165"/>
    <x v="29"/>
  </r>
  <r>
    <x v="4"/>
    <s v="Campinas"/>
    <x v="1"/>
    <n v="3"/>
    <n v="12"/>
    <n v="4026"/>
    <n v="2415.6"/>
    <x v="29"/>
  </r>
  <r>
    <x v="0"/>
    <s v="Campinas"/>
    <x v="1"/>
    <n v="5"/>
    <n v="7"/>
    <n v="819"/>
    <n v="286.65000000000003"/>
    <x v="29"/>
  </r>
  <r>
    <x v="0"/>
    <s v="Santo André"/>
    <x v="1"/>
    <n v="5"/>
    <n v="7"/>
    <n v="2529"/>
    <n v="88.515000000000001"/>
    <x v="29"/>
  </r>
  <r>
    <x v="2"/>
    <s v="Santos"/>
    <x v="1"/>
    <n v="250"/>
    <n v="300"/>
    <n v="801"/>
    <n v="12015"/>
    <x v="29"/>
  </r>
  <r>
    <x v="0"/>
    <s v="Campinas"/>
    <x v="1"/>
    <n v="260"/>
    <n v="350"/>
    <n v="2104"/>
    <n v="36820"/>
    <x v="29"/>
  </r>
  <r>
    <x v="4"/>
    <s v="Santo André"/>
    <x v="4"/>
    <n v="3"/>
    <n v="12"/>
    <n v="1369"/>
    <n v="821.40000000000009"/>
    <x v="29"/>
  </r>
  <r>
    <x v="2"/>
    <s v="Campinas"/>
    <x v="4"/>
    <n v="250"/>
    <n v="300"/>
    <n v="3793"/>
    <n v="56895"/>
    <x v="29"/>
  </r>
  <r>
    <x v="2"/>
    <s v="Santo André"/>
    <x v="4"/>
    <n v="250"/>
    <n v="300"/>
    <n v="2460"/>
    <n v="36900"/>
    <x v="29"/>
  </r>
  <r>
    <x v="2"/>
    <s v="Sorocaba"/>
    <x v="4"/>
    <n v="250"/>
    <n v="300"/>
    <n v="1659"/>
    <n v="24885"/>
    <x v="29"/>
  </r>
  <r>
    <x v="0"/>
    <s v="Jundiaí"/>
    <x v="4"/>
    <n v="260"/>
    <n v="350"/>
    <n v="1307"/>
    <n v="22872.5"/>
    <x v="29"/>
  </r>
  <r>
    <x v="0"/>
    <s v="Santo André"/>
    <x v="4"/>
    <n v="260"/>
    <n v="350"/>
    <n v="200"/>
    <n v="3500"/>
    <x v="29"/>
  </r>
  <r>
    <x v="2"/>
    <s v="Santos"/>
    <x v="4"/>
    <n v="260"/>
    <n v="350"/>
    <n v="1395"/>
    <n v="24412.5"/>
    <x v="29"/>
  </r>
  <r>
    <x v="4"/>
    <s v="Sorocaba"/>
    <x v="4"/>
    <n v="260"/>
    <n v="350"/>
    <n v="639"/>
    <n v="11182.5"/>
    <x v="29"/>
  </r>
  <r>
    <x v="4"/>
    <s v="Jundiaí"/>
    <x v="2"/>
    <n v="3"/>
    <n v="12"/>
    <n v="367"/>
    <n v="0"/>
    <x v="29"/>
  </r>
  <r>
    <x v="0"/>
    <s v="Jundiaí"/>
    <x v="2"/>
    <n v="10"/>
    <n v="20"/>
    <n v="645"/>
    <n v="645"/>
    <x v="29"/>
  </r>
  <r>
    <x v="2"/>
    <s v="Santos"/>
    <x v="2"/>
    <n v="10"/>
    <n v="20"/>
    <n v="2255"/>
    <n v="2255"/>
    <x v="29"/>
  </r>
  <r>
    <x v="4"/>
    <s v="Sorocaba"/>
    <x v="2"/>
    <n v="10"/>
    <n v="20"/>
    <n v="1375"/>
    <n v="137.55000000000001"/>
    <x v="29"/>
  </r>
  <r>
    <x v="3"/>
    <s v="Campinas"/>
    <x v="2"/>
    <n v="120"/>
    <n v="125"/>
    <n v="2665"/>
    <n v="0"/>
    <x v="29"/>
  </r>
  <r>
    <x v="3"/>
    <s v="Jundiaí"/>
    <x v="2"/>
    <n v="120"/>
    <n v="125"/>
    <n v="3513"/>
    <n v="21956.25"/>
    <x v="29"/>
  </r>
  <r>
    <x v="3"/>
    <s v="Santo André"/>
    <x v="2"/>
    <n v="120"/>
    <n v="125"/>
    <n v="3627"/>
    <n v="22668.75"/>
    <x v="29"/>
  </r>
  <r>
    <x v="4"/>
    <s v="Santos"/>
    <x v="3"/>
    <n v="3"/>
    <n v="12"/>
    <n v="571"/>
    <n v="342.6"/>
    <x v="29"/>
  </r>
  <r>
    <x v="4"/>
    <s v="Sorocaba"/>
    <x v="3"/>
    <n v="3"/>
    <n v="12"/>
    <n v="2425"/>
    <n v="1455"/>
    <x v="29"/>
  </r>
  <r>
    <x v="3"/>
    <s v="Santos"/>
    <x v="3"/>
    <n v="120"/>
    <n v="125"/>
    <n v="1823"/>
    <n v="11393.75"/>
    <x v="29"/>
  </r>
  <r>
    <x v="3"/>
    <s v="Santos"/>
    <x v="3"/>
    <n v="120"/>
    <n v="125"/>
    <n v="2988"/>
    <n v="18675"/>
    <x v="29"/>
  </r>
  <r>
    <x v="0"/>
    <s v="Campinas"/>
    <x v="6"/>
    <n v="10"/>
    <n v="20"/>
    <n v="865"/>
    <n v="865"/>
    <x v="29"/>
  </r>
  <r>
    <x v="1"/>
    <s v="Jundiaí"/>
    <x v="6"/>
    <n v="10"/>
    <n v="15"/>
    <n v="492"/>
    <n v="369"/>
    <x v="29"/>
  </r>
  <r>
    <x v="0"/>
    <s v="Santo André"/>
    <x v="6"/>
    <n v="10"/>
    <n v="20"/>
    <n v="436"/>
    <n v="436"/>
    <x v="29"/>
  </r>
  <r>
    <x v="1"/>
    <s v="Santos"/>
    <x v="6"/>
    <n v="10"/>
    <n v="15"/>
    <n v="641"/>
    <n v="480.75"/>
    <x v="29"/>
  </r>
  <r>
    <x v="1"/>
    <s v="Sorocaba"/>
    <x v="6"/>
    <n v="10"/>
    <n v="15"/>
    <n v="3874"/>
    <n v="2905.5"/>
    <x v="29"/>
  </r>
  <r>
    <x v="4"/>
    <s v="Jundiaí"/>
    <x v="0"/>
    <n v="3"/>
    <n v="12"/>
    <n v="2574"/>
    <n v="1544.4"/>
    <x v="30"/>
  </r>
  <r>
    <x v="4"/>
    <s v="Santo André"/>
    <x v="0"/>
    <n v="3"/>
    <n v="12"/>
    <n v="2141"/>
    <n v="0"/>
    <x v="30"/>
  </r>
  <r>
    <x v="4"/>
    <s v="Santos"/>
    <x v="0"/>
    <n v="3"/>
    <n v="12"/>
    <n v="1123"/>
    <n v="673.80000000000007"/>
    <x v="30"/>
  </r>
  <r>
    <x v="4"/>
    <s v="Sorocaba"/>
    <x v="0"/>
    <n v="3"/>
    <n v="12"/>
    <n v="2475"/>
    <n v="1485"/>
    <x v="30"/>
  </r>
  <r>
    <x v="1"/>
    <s v="Campinas"/>
    <x v="0"/>
    <n v="10"/>
    <n v="15"/>
    <n v="2559"/>
    <n v="1919.25"/>
    <x v="30"/>
  </r>
  <r>
    <x v="0"/>
    <s v="Campinas"/>
    <x v="0"/>
    <n v="260"/>
    <n v="350"/>
    <n v="552"/>
    <n v="9660"/>
    <x v="30"/>
  </r>
  <r>
    <x v="4"/>
    <s v="Campinas"/>
    <x v="1"/>
    <n v="3"/>
    <n v="12"/>
    <n v="1884"/>
    <n v="1130.4000000000001"/>
    <x v="30"/>
  </r>
  <r>
    <x v="0"/>
    <s v="Campinas"/>
    <x v="1"/>
    <n v="10"/>
    <n v="20"/>
    <n v="2394"/>
    <n v="2394"/>
    <x v="30"/>
  </r>
  <r>
    <x v="3"/>
    <s v="Jundiaí"/>
    <x v="1"/>
    <n v="120"/>
    <n v="125"/>
    <n v="2767"/>
    <n v="17293.75"/>
    <x v="30"/>
  </r>
  <r>
    <x v="3"/>
    <s v="Santos"/>
    <x v="1"/>
    <n v="120"/>
    <n v="125"/>
    <n v="1540"/>
    <n v="9625"/>
    <x v="30"/>
  </r>
  <r>
    <x v="3"/>
    <s v="Sorocaba"/>
    <x v="1"/>
    <n v="120"/>
    <n v="125"/>
    <n v="1174"/>
    <n v="7337.5"/>
    <x v="30"/>
  </r>
  <r>
    <x v="0"/>
    <s v="Santo André"/>
    <x v="4"/>
    <n v="5"/>
    <n v="7"/>
    <n v="678"/>
    <n v="237.3"/>
    <x v="30"/>
  </r>
  <r>
    <x v="0"/>
    <s v="Jundiaí"/>
    <x v="4"/>
    <n v="10"/>
    <n v="20"/>
    <n v="1001"/>
    <n v="1001"/>
    <x v="30"/>
  </r>
  <r>
    <x v="1"/>
    <s v="Santo André"/>
    <x v="4"/>
    <n v="10"/>
    <n v="15"/>
    <n v="2198"/>
    <n v="1648.5"/>
    <x v="30"/>
  </r>
  <r>
    <x v="0"/>
    <s v="Santo André"/>
    <x v="4"/>
    <n v="10"/>
    <n v="20"/>
    <n v="2832"/>
    <n v="2832"/>
    <x v="30"/>
  </r>
  <r>
    <x v="0"/>
    <s v="Santos"/>
    <x v="4"/>
    <n v="10"/>
    <n v="20"/>
    <n v="609"/>
    <n v="609"/>
    <x v="30"/>
  </r>
  <r>
    <x v="0"/>
    <s v="Sorocaba"/>
    <x v="4"/>
    <n v="10"/>
    <n v="20"/>
    <n v="1579"/>
    <n v="1579"/>
    <x v="30"/>
  </r>
  <r>
    <x v="3"/>
    <s v="Campinas"/>
    <x v="4"/>
    <n v="120"/>
    <n v="125"/>
    <n v="923"/>
    <n v="5768.75"/>
    <x v="30"/>
  </r>
  <r>
    <x v="3"/>
    <s v="Santo André"/>
    <x v="4"/>
    <n v="120"/>
    <n v="125"/>
    <n v="2821"/>
    <n v="0"/>
    <x v="30"/>
  </r>
  <r>
    <x v="0"/>
    <s v="Campinas"/>
    <x v="2"/>
    <n v="5"/>
    <n v="7"/>
    <n v="1830"/>
    <n v="64.05"/>
    <x v="30"/>
  </r>
  <r>
    <x v="2"/>
    <s v="Campinas"/>
    <x v="2"/>
    <n v="250"/>
    <n v="300"/>
    <n v="1859"/>
    <n v="27885"/>
    <x v="30"/>
  </r>
  <r>
    <x v="2"/>
    <s v="Santos"/>
    <x v="2"/>
    <n v="250"/>
    <n v="300"/>
    <n v="958"/>
    <n v="0"/>
    <x v="30"/>
  </r>
  <r>
    <x v="2"/>
    <s v="Sorocaba"/>
    <x v="2"/>
    <n v="250"/>
    <n v="300"/>
    <n v="1562"/>
    <n v="23430"/>
    <x v="30"/>
  </r>
  <r>
    <x v="0"/>
    <s v="Jundiaí"/>
    <x v="3"/>
    <n v="5"/>
    <n v="7"/>
    <n v="200"/>
    <n v="70"/>
    <x v="30"/>
  </r>
  <r>
    <x v="0"/>
    <s v="Santos"/>
    <x v="3"/>
    <n v="5"/>
    <n v="7"/>
    <n v="883"/>
    <n v="0"/>
    <x v="30"/>
  </r>
  <r>
    <x v="0"/>
    <s v="Sorocaba"/>
    <x v="3"/>
    <n v="5"/>
    <n v="7"/>
    <n v="696"/>
    <n v="243.60000000000002"/>
    <x v="30"/>
  </r>
  <r>
    <x v="1"/>
    <s v="Jundiaí"/>
    <x v="3"/>
    <n v="10"/>
    <n v="15"/>
    <n v="1743"/>
    <n v="1307.25"/>
    <x v="30"/>
  </r>
  <r>
    <x v="1"/>
    <s v="Santos"/>
    <x v="3"/>
    <n v="10"/>
    <n v="15"/>
    <n v="1984"/>
    <n v="1488"/>
    <x v="30"/>
  </r>
  <r>
    <x v="1"/>
    <s v="Sorocaba"/>
    <x v="3"/>
    <n v="10"/>
    <n v="15"/>
    <n v="2101"/>
    <n v="1575.75"/>
    <x v="30"/>
  </r>
  <r>
    <x v="2"/>
    <s v="Campinas"/>
    <x v="6"/>
    <n v="250"/>
    <n v="300"/>
    <n v="1874"/>
    <n v="28110"/>
    <x v="30"/>
  </r>
  <r>
    <x v="2"/>
    <s v="Santo André"/>
    <x v="6"/>
    <n v="250"/>
    <n v="300"/>
    <n v="2541"/>
    <n v="38115"/>
    <x v="30"/>
  </r>
  <r>
    <x v="0"/>
    <s v="Jundiaí"/>
    <x v="6"/>
    <n v="260"/>
    <n v="350"/>
    <n v="422"/>
    <n v="0"/>
    <x v="30"/>
  </r>
  <r>
    <x v="0"/>
    <s v="Santo André"/>
    <x v="6"/>
    <n v="260"/>
    <n v="350"/>
    <n v="2807"/>
    <n v="49122.5"/>
    <x v="30"/>
  </r>
  <r>
    <x v="2"/>
    <s v="Santos"/>
    <x v="6"/>
    <n v="260"/>
    <n v="350"/>
    <n v="1642"/>
    <n v="0"/>
    <x v="30"/>
  </r>
  <r>
    <x v="4"/>
    <s v="Sorocaba"/>
    <x v="6"/>
    <n v="260"/>
    <n v="350"/>
    <n v="381"/>
    <n v="6667.5"/>
    <x v="30"/>
  </r>
  <r>
    <x v="1"/>
    <s v="Campinas"/>
    <x v="0"/>
    <n v="10"/>
    <n v="15"/>
    <n v="218"/>
    <n v="65.400000000000006"/>
    <x v="31"/>
  </r>
  <r>
    <x v="0"/>
    <s v="Campinas"/>
    <x v="0"/>
    <n v="260"/>
    <n v="350"/>
    <n v="707"/>
    <n v="12372.5"/>
    <x v="31"/>
  </r>
  <r>
    <x v="0"/>
    <s v="Jundiaí"/>
    <x v="0"/>
    <n v="260"/>
    <n v="350"/>
    <n v="200"/>
    <n v="3500"/>
    <x v="31"/>
  </r>
  <r>
    <x v="0"/>
    <s v="Santo André"/>
    <x v="0"/>
    <n v="260"/>
    <n v="350"/>
    <n v="2071"/>
    <n v="36242.5"/>
    <x v="31"/>
  </r>
  <r>
    <x v="2"/>
    <s v="Santos"/>
    <x v="0"/>
    <n v="260"/>
    <n v="350"/>
    <n v="1679"/>
    <n v="29382.5"/>
    <x v="31"/>
  </r>
  <r>
    <x v="0"/>
    <s v="Sorocaba"/>
    <x v="0"/>
    <n v="260"/>
    <n v="350"/>
    <n v="300"/>
    <n v="5250"/>
    <x v="31"/>
  </r>
  <r>
    <x v="4"/>
    <s v="Campinas"/>
    <x v="1"/>
    <n v="3"/>
    <n v="12"/>
    <n v="1445"/>
    <n v="86.7"/>
    <x v="31"/>
  </r>
  <r>
    <x v="4"/>
    <s v="Jundiaí"/>
    <x v="1"/>
    <n v="3"/>
    <n v="12"/>
    <n v="1580"/>
    <n v="948"/>
    <x v="31"/>
  </r>
  <r>
    <x v="4"/>
    <s v="Santo André"/>
    <x v="1"/>
    <n v="3"/>
    <n v="12"/>
    <n v="1947"/>
    <n v="1168.2"/>
    <x v="31"/>
  </r>
  <r>
    <x v="4"/>
    <s v="Santos"/>
    <x v="1"/>
    <n v="3"/>
    <n v="12"/>
    <n v="562"/>
    <n v="337.20000000000005"/>
    <x v="31"/>
  </r>
  <r>
    <x v="4"/>
    <s v="Sorocaba"/>
    <x v="1"/>
    <n v="3"/>
    <n v="12"/>
    <n v="2671"/>
    <n v="1602.6000000000001"/>
    <x v="31"/>
  </r>
  <r>
    <x v="0"/>
    <s v="Campinas"/>
    <x v="1"/>
    <n v="10"/>
    <n v="20"/>
    <n v="2074"/>
    <n v="2074"/>
    <x v="31"/>
  </r>
  <r>
    <x v="1"/>
    <s v="Santo André"/>
    <x v="4"/>
    <n v="10"/>
    <n v="15"/>
    <n v="1767"/>
    <n v="1325.25"/>
    <x v="31"/>
  </r>
  <r>
    <x v="0"/>
    <s v="Santo André"/>
    <x v="4"/>
    <n v="10"/>
    <n v="20"/>
    <n v="1056"/>
    <n v="1056"/>
    <x v="31"/>
  </r>
  <r>
    <x v="3"/>
    <s v="Campinas"/>
    <x v="4"/>
    <n v="120"/>
    <n v="125"/>
    <n v="567"/>
    <n v="3543.75"/>
    <x v="31"/>
  </r>
  <r>
    <x v="3"/>
    <s v="Jundiaí"/>
    <x v="4"/>
    <n v="120"/>
    <n v="125"/>
    <n v="2087"/>
    <n v="13043.75"/>
    <x v="31"/>
  </r>
  <r>
    <x v="3"/>
    <s v="Santo André"/>
    <x v="4"/>
    <n v="120"/>
    <n v="125"/>
    <n v="1596"/>
    <n v="9975"/>
    <x v="31"/>
  </r>
  <r>
    <x v="3"/>
    <s v="Santos"/>
    <x v="4"/>
    <n v="120"/>
    <n v="125"/>
    <n v="2110"/>
    <n v="13187.5"/>
    <x v="31"/>
  </r>
  <r>
    <x v="3"/>
    <s v="Sorocaba"/>
    <x v="4"/>
    <n v="120"/>
    <n v="125"/>
    <n v="663"/>
    <n v="0"/>
    <x v="31"/>
  </r>
  <r>
    <x v="0"/>
    <s v="Campinas"/>
    <x v="2"/>
    <n v="5"/>
    <n v="7"/>
    <n v="388"/>
    <n v="135.80000000000001"/>
    <x v="31"/>
  </r>
  <r>
    <x v="0"/>
    <s v="Jundiaí"/>
    <x v="2"/>
    <n v="5"/>
    <n v="7"/>
    <n v="300"/>
    <n v="0"/>
    <x v="31"/>
  </r>
  <r>
    <x v="0"/>
    <s v="Santo André"/>
    <x v="2"/>
    <n v="5"/>
    <n v="7"/>
    <n v="2328"/>
    <n v="814.80000000000007"/>
    <x v="31"/>
  </r>
  <r>
    <x v="2"/>
    <s v="Santos"/>
    <x v="2"/>
    <n v="5"/>
    <n v="7"/>
    <n v="2420"/>
    <n v="0"/>
    <x v="31"/>
  </r>
  <r>
    <x v="4"/>
    <s v="Sorocaba"/>
    <x v="2"/>
    <n v="5"/>
    <n v="7"/>
    <n v="544"/>
    <n v="57.12"/>
    <x v="31"/>
  </r>
  <r>
    <x v="1"/>
    <s v="Jundiaí"/>
    <x v="3"/>
    <n v="10"/>
    <n v="15"/>
    <n v="747"/>
    <n v="56.024999999999999"/>
    <x v="31"/>
  </r>
  <r>
    <x v="0"/>
    <s v="Jundiaí"/>
    <x v="3"/>
    <n v="10"/>
    <n v="20"/>
    <n v="200"/>
    <n v="200"/>
    <x v="31"/>
  </r>
  <r>
    <x v="1"/>
    <s v="Santos"/>
    <x v="3"/>
    <n v="10"/>
    <n v="15"/>
    <n v="2472"/>
    <n v="0"/>
    <x v="31"/>
  </r>
  <r>
    <x v="2"/>
    <s v="Santos"/>
    <x v="3"/>
    <n v="10"/>
    <n v="20"/>
    <n v="933"/>
    <n v="0"/>
    <x v="31"/>
  </r>
  <r>
    <x v="1"/>
    <s v="Sorocaba"/>
    <x v="3"/>
    <n v="10"/>
    <n v="15"/>
    <n v="2620"/>
    <n v="1965"/>
    <x v="31"/>
  </r>
  <r>
    <x v="4"/>
    <s v="Sorocaba"/>
    <x v="3"/>
    <n v="10"/>
    <n v="20"/>
    <n v="1535"/>
    <n v="1535"/>
    <x v="31"/>
  </r>
  <r>
    <x v="2"/>
    <s v="Campinas"/>
    <x v="6"/>
    <n v="250"/>
    <n v="300"/>
    <n v="2134"/>
    <n v="32010"/>
    <x v="31"/>
  </r>
  <r>
    <x v="2"/>
    <s v="Jundiaí"/>
    <x v="6"/>
    <n v="250"/>
    <n v="300"/>
    <n v="986"/>
    <n v="0"/>
    <x v="31"/>
  </r>
  <r>
    <x v="2"/>
    <s v="Santo André"/>
    <x v="6"/>
    <n v="250"/>
    <n v="300"/>
    <n v="1867"/>
    <n v="28005"/>
    <x v="31"/>
  </r>
  <r>
    <x v="2"/>
    <s v="Santos"/>
    <x v="6"/>
    <n v="250"/>
    <n v="300"/>
    <n v="432"/>
    <n v="6480"/>
    <x v="31"/>
  </r>
  <r>
    <x v="2"/>
    <s v="Sorocaba"/>
    <x v="6"/>
    <n v="250"/>
    <n v="300"/>
    <n v="2151"/>
    <n v="0"/>
    <x v="31"/>
  </r>
  <r>
    <x v="4"/>
    <s v="Jundiaí"/>
    <x v="0"/>
    <n v="3"/>
    <n v="12"/>
    <n v="472"/>
    <n v="283.2"/>
    <x v="32"/>
  </r>
  <r>
    <x v="4"/>
    <s v="Santo André"/>
    <x v="0"/>
    <n v="3"/>
    <n v="12"/>
    <n v="2914"/>
    <n v="1748.4"/>
    <x v="32"/>
  </r>
  <r>
    <x v="4"/>
    <s v="Santos"/>
    <x v="0"/>
    <n v="3"/>
    <n v="12"/>
    <n v="410"/>
    <n v="246"/>
    <x v="32"/>
  </r>
  <r>
    <x v="4"/>
    <s v="Sorocaba"/>
    <x v="0"/>
    <n v="3"/>
    <n v="12"/>
    <n v="1393"/>
    <n v="835.80000000000007"/>
    <x v="32"/>
  </r>
  <r>
    <x v="0"/>
    <s v="Campinas"/>
    <x v="0"/>
    <n v="5"/>
    <n v="7"/>
    <n v="980"/>
    <n v="343"/>
    <x v="32"/>
  </r>
  <r>
    <x v="0"/>
    <s v="Santo André"/>
    <x v="0"/>
    <n v="5"/>
    <n v="7"/>
    <n v="1143"/>
    <n v="0"/>
    <x v="32"/>
  </r>
  <r>
    <x v="0"/>
    <s v="Sorocaba"/>
    <x v="0"/>
    <n v="5"/>
    <n v="7"/>
    <n v="1731"/>
    <n v="605.85"/>
    <x v="32"/>
  </r>
  <r>
    <x v="1"/>
    <s v="Campinas"/>
    <x v="0"/>
    <n v="10"/>
    <n v="15"/>
    <n v="1565"/>
    <n v="1173.75"/>
    <x v="32"/>
  </r>
  <r>
    <x v="3"/>
    <s v="Campinas"/>
    <x v="0"/>
    <n v="120"/>
    <n v="125"/>
    <n v="2009"/>
    <n v="0"/>
    <x v="32"/>
  </r>
  <r>
    <x v="2"/>
    <s v="Campinas"/>
    <x v="0"/>
    <n v="250"/>
    <n v="300"/>
    <n v="1496"/>
    <n v="22440"/>
    <x v="32"/>
  </r>
  <r>
    <x v="2"/>
    <s v="Campinas"/>
    <x v="0"/>
    <n v="250"/>
    <n v="300"/>
    <n v="2021"/>
    <n v="30315"/>
    <x v="32"/>
  </r>
  <r>
    <x v="2"/>
    <s v="Santos"/>
    <x v="0"/>
    <n v="250"/>
    <n v="300"/>
    <n v="546"/>
    <n v="8190"/>
    <x v="32"/>
  </r>
  <r>
    <x v="0"/>
    <s v="Campinas"/>
    <x v="0"/>
    <n v="260"/>
    <n v="350"/>
    <n v="1269"/>
    <n v="22207.5"/>
    <x v="32"/>
  </r>
  <r>
    <x v="4"/>
    <s v="Campinas"/>
    <x v="1"/>
    <n v="3"/>
    <n v="12"/>
    <n v="1295"/>
    <n v="777"/>
    <x v="32"/>
  </r>
  <r>
    <x v="4"/>
    <s v="Campinas"/>
    <x v="1"/>
    <n v="3"/>
    <n v="12"/>
    <n v="1295"/>
    <n v="777"/>
    <x v="32"/>
  </r>
  <r>
    <x v="0"/>
    <s v="Campinas"/>
    <x v="1"/>
    <n v="10"/>
    <n v="20"/>
    <n v="1249"/>
    <n v="1249"/>
    <x v="32"/>
  </r>
  <r>
    <x v="3"/>
    <s v="Jundiaí"/>
    <x v="1"/>
    <n v="120"/>
    <n v="125"/>
    <n v="1085"/>
    <n v="6781.25"/>
    <x v="32"/>
  </r>
  <r>
    <x v="3"/>
    <s v="Santos"/>
    <x v="1"/>
    <n v="120"/>
    <n v="125"/>
    <n v="2156"/>
    <n v="13475"/>
    <x v="32"/>
  </r>
  <r>
    <x v="3"/>
    <s v="Santos"/>
    <x v="1"/>
    <n v="120"/>
    <n v="125"/>
    <n v="2441"/>
    <n v="15256.25"/>
    <x v="32"/>
  </r>
  <r>
    <x v="4"/>
    <s v="Santo André"/>
    <x v="1"/>
    <n v="250"/>
    <n v="300"/>
    <n v="6010"/>
    <n v="15150"/>
    <x v="32"/>
  </r>
  <r>
    <x v="2"/>
    <s v="Sorocaba"/>
    <x v="1"/>
    <n v="250"/>
    <n v="300"/>
    <n v="2181"/>
    <n v="32715"/>
    <x v="32"/>
  </r>
  <r>
    <x v="2"/>
    <s v="Santos"/>
    <x v="1"/>
    <n v="260"/>
    <n v="350"/>
    <n v="1397"/>
    <n v="0"/>
    <x v="32"/>
  </r>
  <r>
    <x v="4"/>
    <s v="Jundiaí"/>
    <x v="4"/>
    <n v="3"/>
    <n v="12"/>
    <n v="472"/>
    <n v="283.2"/>
    <x v="32"/>
  </r>
  <r>
    <x v="4"/>
    <s v="Santos"/>
    <x v="4"/>
    <n v="3"/>
    <n v="12"/>
    <n v="410"/>
    <n v="246"/>
    <x v="32"/>
  </r>
  <r>
    <x v="0"/>
    <s v="Jundiaí"/>
    <x v="4"/>
    <n v="10"/>
    <n v="20"/>
    <n v="241"/>
    <n v="241"/>
    <x v="32"/>
  </r>
  <r>
    <x v="3"/>
    <s v="Santo André"/>
    <x v="4"/>
    <n v="10"/>
    <n v="15"/>
    <n v="1153"/>
    <n v="864.75"/>
    <x v="32"/>
  </r>
  <r>
    <x v="0"/>
    <s v="Santo André"/>
    <x v="4"/>
    <n v="10"/>
    <n v="20"/>
    <n v="1566"/>
    <n v="1566"/>
    <x v="32"/>
  </r>
  <r>
    <x v="0"/>
    <s v="Santos"/>
    <x v="4"/>
    <n v="10"/>
    <n v="20"/>
    <n v="905"/>
    <n v="905"/>
    <x v="32"/>
  </r>
  <r>
    <x v="0"/>
    <s v="Sorocaba"/>
    <x v="4"/>
    <n v="10"/>
    <n v="20"/>
    <n v="1976"/>
    <n v="1976"/>
    <x v="32"/>
  </r>
  <r>
    <x v="3"/>
    <s v="Campinas"/>
    <x v="4"/>
    <n v="120"/>
    <n v="125"/>
    <n v="2009"/>
    <n v="0"/>
    <x v="32"/>
  </r>
  <r>
    <x v="3"/>
    <s v="Santo André"/>
    <x v="4"/>
    <n v="120"/>
    <n v="125"/>
    <n v="861"/>
    <n v="5381.25"/>
    <x v="32"/>
  </r>
  <r>
    <x v="0"/>
    <s v="Campinas"/>
    <x v="4"/>
    <n v="260"/>
    <n v="350"/>
    <n v="1269"/>
    <n v="22207.5"/>
    <x v="32"/>
  </r>
  <r>
    <x v="0"/>
    <s v="Jundiaí"/>
    <x v="4"/>
    <n v="260"/>
    <n v="350"/>
    <n v="600"/>
    <n v="10500"/>
    <x v="32"/>
  </r>
  <r>
    <x v="0"/>
    <s v="Santo André"/>
    <x v="4"/>
    <n v="260"/>
    <n v="350"/>
    <n v="986"/>
    <n v="17255"/>
    <x v="32"/>
  </r>
  <r>
    <x v="0"/>
    <s v="Sorocaba"/>
    <x v="4"/>
    <n v="260"/>
    <n v="350"/>
    <n v="2177"/>
    <n v="38097.5"/>
    <x v="32"/>
  </r>
  <r>
    <x v="0"/>
    <s v="Campinas"/>
    <x v="2"/>
    <n v="5"/>
    <n v="7"/>
    <n v="644"/>
    <n v="225.4"/>
    <x v="32"/>
  </r>
  <r>
    <x v="0"/>
    <s v="Campinas"/>
    <x v="2"/>
    <n v="10"/>
    <n v="20"/>
    <n v="1249"/>
    <n v="1249"/>
    <x v="32"/>
  </r>
  <r>
    <x v="0"/>
    <s v="Santo André"/>
    <x v="2"/>
    <n v="10"/>
    <n v="20"/>
    <n v="1566"/>
    <n v="1566"/>
    <x v="32"/>
  </r>
  <r>
    <x v="3"/>
    <s v="Santos"/>
    <x v="2"/>
    <n v="10"/>
    <n v="15"/>
    <n v="2031"/>
    <n v="1523.25"/>
    <x v="32"/>
  </r>
  <r>
    <x v="0"/>
    <s v="Sorocaba"/>
    <x v="2"/>
    <n v="10"/>
    <n v="20"/>
    <n v="1976"/>
    <n v="1976"/>
    <x v="32"/>
  </r>
  <r>
    <x v="2"/>
    <s v="Campinas"/>
    <x v="2"/>
    <n v="250"/>
    <n v="300"/>
    <n v="2021"/>
    <n v="30315"/>
    <x v="32"/>
  </r>
  <r>
    <x v="2"/>
    <s v="Santos"/>
    <x v="2"/>
    <n v="250"/>
    <n v="300"/>
    <n v="546"/>
    <n v="8190"/>
    <x v="32"/>
  </r>
  <r>
    <x v="2"/>
    <s v="Sorocaba"/>
    <x v="2"/>
    <n v="250"/>
    <n v="300"/>
    <n v="2181"/>
    <n v="32715"/>
    <x v="32"/>
  </r>
  <r>
    <x v="4"/>
    <s v="Santo André"/>
    <x v="3"/>
    <n v="3"/>
    <n v="12"/>
    <n v="914"/>
    <n v="0"/>
    <x v="32"/>
  </r>
  <r>
    <x v="4"/>
    <s v="Sorocaba"/>
    <x v="3"/>
    <n v="3"/>
    <n v="12"/>
    <n v="1393"/>
    <n v="835.80000000000007"/>
    <x v="32"/>
  </r>
  <r>
    <x v="0"/>
    <s v="Jundiaí"/>
    <x v="3"/>
    <n v="5"/>
    <n v="7"/>
    <n v="360"/>
    <n v="113.4"/>
    <x v="32"/>
  </r>
  <r>
    <x v="0"/>
    <s v="Santo André"/>
    <x v="3"/>
    <n v="5"/>
    <n v="7"/>
    <n v="1143"/>
    <n v="0"/>
    <x v="32"/>
  </r>
  <r>
    <x v="2"/>
    <s v="Santos"/>
    <x v="3"/>
    <n v="5"/>
    <n v="7"/>
    <n v="400"/>
    <n v="140"/>
    <x v="32"/>
  </r>
  <r>
    <x v="0"/>
    <s v="Sorocaba"/>
    <x v="3"/>
    <n v="5"/>
    <n v="7"/>
    <n v="1731"/>
    <n v="605.85"/>
    <x v="32"/>
  </r>
  <r>
    <x v="1"/>
    <s v="Jundiaí"/>
    <x v="3"/>
    <n v="10"/>
    <n v="15"/>
    <n v="1175"/>
    <n v="881.25"/>
    <x v="32"/>
  </r>
  <r>
    <x v="0"/>
    <s v="Jundiaí"/>
    <x v="3"/>
    <n v="10"/>
    <n v="20"/>
    <n v="241"/>
    <n v="241"/>
    <x v="32"/>
  </r>
  <r>
    <x v="3"/>
    <s v="Santos"/>
    <x v="3"/>
    <n v="10"/>
    <n v="15"/>
    <n v="2031"/>
    <n v="0"/>
    <x v="32"/>
  </r>
  <r>
    <x v="0"/>
    <s v="Santos"/>
    <x v="3"/>
    <n v="10"/>
    <n v="20"/>
    <n v="905"/>
    <n v="905"/>
    <x v="32"/>
  </r>
  <r>
    <x v="3"/>
    <s v="Sorocaba"/>
    <x v="3"/>
    <n v="10"/>
    <n v="15"/>
    <n v="1227"/>
    <n v="0"/>
    <x v="32"/>
  </r>
  <r>
    <x v="3"/>
    <s v="Jundiaí"/>
    <x v="3"/>
    <n v="120"/>
    <n v="125"/>
    <n v="1085"/>
    <n v="6781.25"/>
    <x v="32"/>
  </r>
  <r>
    <x v="4"/>
    <s v="Santo André"/>
    <x v="3"/>
    <n v="120"/>
    <n v="125"/>
    <n v="861"/>
    <n v="5381.25"/>
    <x v="32"/>
  </r>
  <r>
    <x v="3"/>
    <s v="Santos"/>
    <x v="3"/>
    <n v="120"/>
    <n v="125"/>
    <n v="2156"/>
    <n v="13475"/>
    <x v="32"/>
  </r>
  <r>
    <x v="3"/>
    <s v="Santos"/>
    <x v="3"/>
    <n v="120"/>
    <n v="125"/>
    <n v="2441"/>
    <n v="15256.25"/>
    <x v="32"/>
  </r>
  <r>
    <x v="0"/>
    <s v="Jundiaí"/>
    <x v="6"/>
    <n v="5"/>
    <n v="7"/>
    <n v="360"/>
    <n v="113.4"/>
    <x v="32"/>
  </r>
  <r>
    <x v="2"/>
    <s v="Santos"/>
    <x v="6"/>
    <n v="5"/>
    <n v="7"/>
    <n v="200"/>
    <n v="70"/>
    <x v="32"/>
  </r>
  <r>
    <x v="4"/>
    <s v="Santo André"/>
    <x v="6"/>
    <n v="10"/>
    <n v="15"/>
    <n v="1153"/>
    <n v="864.75"/>
    <x v="32"/>
  </r>
  <r>
    <x v="3"/>
    <s v="Sorocaba"/>
    <x v="6"/>
    <n v="10"/>
    <n v="15"/>
    <n v="1227"/>
    <n v="920.25"/>
    <x v="32"/>
  </r>
  <r>
    <x v="2"/>
    <s v="Campinas"/>
    <x v="6"/>
    <n v="250"/>
    <n v="300"/>
    <n v="1496"/>
    <n v="22440"/>
    <x v="32"/>
  </r>
  <r>
    <x v="2"/>
    <s v="Santo André"/>
    <x v="6"/>
    <n v="250"/>
    <n v="300"/>
    <n v="1010"/>
    <n v="15150"/>
    <x v="32"/>
  </r>
  <r>
    <x v="0"/>
    <s v="Jundiaí"/>
    <x v="6"/>
    <n v="260"/>
    <n v="350"/>
    <n v="780"/>
    <n v="13650"/>
    <x v="32"/>
  </r>
  <r>
    <x v="0"/>
    <s v="Santo André"/>
    <x v="6"/>
    <n v="260"/>
    <n v="350"/>
    <n v="986"/>
    <n v="17255"/>
    <x v="32"/>
  </r>
  <r>
    <x v="2"/>
    <s v="Santos"/>
    <x v="6"/>
    <n v="260"/>
    <n v="350"/>
    <n v="1397"/>
    <n v="0"/>
    <x v="32"/>
  </r>
  <r>
    <x v="0"/>
    <s v="Sorocaba"/>
    <x v="6"/>
    <n v="260"/>
    <n v="350"/>
    <n v="2177"/>
    <n v="38097.5"/>
    <x v="32"/>
  </r>
  <r>
    <x v="3"/>
    <s v="Campinas"/>
    <x v="0"/>
    <n v="10"/>
    <n v="15"/>
    <n v="689"/>
    <n v="0"/>
    <x v="33"/>
  </r>
  <r>
    <x v="0"/>
    <s v="Campinas"/>
    <x v="0"/>
    <n v="10"/>
    <n v="20"/>
    <n v="1118"/>
    <n v="1118"/>
    <x v="33"/>
  </r>
  <r>
    <x v="0"/>
    <s v="Jundiaí"/>
    <x v="0"/>
    <n v="10"/>
    <n v="20"/>
    <n v="200"/>
    <n v="200"/>
    <x v="33"/>
  </r>
  <r>
    <x v="0"/>
    <s v="Santo André"/>
    <x v="0"/>
    <n v="10"/>
    <n v="20"/>
    <n v="1236"/>
    <n v="1236"/>
    <x v="33"/>
  </r>
  <r>
    <x v="2"/>
    <s v="Santos"/>
    <x v="0"/>
    <n v="10"/>
    <n v="20"/>
    <n v="1694"/>
    <n v="1694"/>
    <x v="33"/>
  </r>
  <r>
    <x v="4"/>
    <s v="Sorocaba"/>
    <x v="0"/>
    <n v="10"/>
    <n v="20"/>
    <n v="941"/>
    <n v="941"/>
    <x v="33"/>
  </r>
  <r>
    <x v="2"/>
    <s v="Campinas"/>
    <x v="0"/>
    <n v="250"/>
    <n v="300"/>
    <n v="1366"/>
    <n v="20490"/>
    <x v="33"/>
  </r>
  <r>
    <x v="3"/>
    <s v="Jundiaí"/>
    <x v="1"/>
    <n v="10"/>
    <n v="15"/>
    <n v="1513"/>
    <n v="1134.75"/>
    <x v="33"/>
  </r>
  <r>
    <x v="3"/>
    <s v="Santo André"/>
    <x v="1"/>
    <n v="10"/>
    <n v="15"/>
    <n v="2030"/>
    <n v="1522.5"/>
    <x v="33"/>
  </r>
  <r>
    <x v="3"/>
    <s v="Santos"/>
    <x v="1"/>
    <n v="10"/>
    <n v="15"/>
    <n v="2791"/>
    <n v="2093.25"/>
    <x v="33"/>
  </r>
  <r>
    <x v="3"/>
    <s v="Sorocaba"/>
    <x v="1"/>
    <n v="10"/>
    <n v="15"/>
    <n v="490"/>
    <n v="367.5"/>
    <x v="33"/>
  </r>
  <r>
    <x v="0"/>
    <s v="Campinas"/>
    <x v="1"/>
    <n v="260"/>
    <n v="350"/>
    <n v="700"/>
    <n v="12250"/>
    <x v="33"/>
  </r>
  <r>
    <x v="0"/>
    <s v="Campinas"/>
    <x v="4"/>
    <n v="5"/>
    <n v="7"/>
    <n v="1808"/>
    <n v="632.80000000000007"/>
    <x v="33"/>
  </r>
  <r>
    <x v="0"/>
    <s v="Jundiaí"/>
    <x v="4"/>
    <n v="5"/>
    <n v="7"/>
    <n v="90"/>
    <n v="32.75"/>
    <x v="33"/>
  </r>
  <r>
    <x v="0"/>
    <s v="Santo André"/>
    <x v="4"/>
    <n v="5"/>
    <n v="7"/>
    <n v="547"/>
    <n v="134.01499999999999"/>
    <x v="33"/>
  </r>
  <r>
    <x v="2"/>
    <s v="Santos"/>
    <x v="4"/>
    <n v="5"/>
    <n v="7"/>
    <n v="1333"/>
    <n v="0"/>
    <x v="33"/>
  </r>
  <r>
    <x v="4"/>
    <s v="Sorocaba"/>
    <x v="4"/>
    <n v="5"/>
    <n v="7"/>
    <n v="639"/>
    <n v="22.364999999999998"/>
    <x v="33"/>
  </r>
  <r>
    <x v="4"/>
    <s v="Campinas"/>
    <x v="2"/>
    <n v="3"/>
    <n v="12"/>
    <n v="2321"/>
    <n v="1392.6000000000001"/>
    <x v="33"/>
  </r>
  <r>
    <x v="4"/>
    <s v="Jundiaí"/>
    <x v="2"/>
    <n v="3"/>
    <n v="12"/>
    <n v="2342"/>
    <n v="1405.2"/>
    <x v="33"/>
  </r>
  <r>
    <x v="4"/>
    <s v="Santo André"/>
    <x v="2"/>
    <n v="3"/>
    <n v="12"/>
    <n v="2723"/>
    <n v="1633.8000000000002"/>
    <x v="33"/>
  </r>
  <r>
    <x v="4"/>
    <s v="Santos"/>
    <x v="2"/>
    <n v="3"/>
    <n v="12"/>
    <n v="690"/>
    <n v="82.8"/>
    <x v="33"/>
  </r>
  <r>
    <x v="4"/>
    <s v="Sorocaba"/>
    <x v="2"/>
    <n v="3"/>
    <n v="12"/>
    <n v="2342"/>
    <n v="1405.2"/>
    <x v="33"/>
  </r>
  <r>
    <x v="2"/>
    <s v="Campinas"/>
    <x v="3"/>
    <n v="250"/>
    <n v="300"/>
    <n v="1359"/>
    <n v="20385"/>
    <x v="33"/>
  </r>
  <r>
    <x v="2"/>
    <s v="Santo André"/>
    <x v="3"/>
    <n v="250"/>
    <n v="300"/>
    <n v="2905"/>
    <n v="43575"/>
    <x v="33"/>
  </r>
  <r>
    <x v="2"/>
    <s v="Santos"/>
    <x v="3"/>
    <n v="250"/>
    <n v="300"/>
    <n v="2150"/>
    <n v="32250"/>
    <x v="33"/>
  </r>
  <r>
    <x v="2"/>
    <s v="Sorocaba"/>
    <x v="3"/>
    <n v="250"/>
    <n v="300"/>
    <n v="1324"/>
    <n v="19860"/>
    <x v="33"/>
  </r>
  <r>
    <x v="0"/>
    <s v="Jundiaí"/>
    <x v="3"/>
    <n v="260"/>
    <n v="350"/>
    <n v="357"/>
    <n v="6247.5"/>
    <x v="33"/>
  </r>
  <r>
    <x v="0"/>
    <s v="Santo André"/>
    <x v="3"/>
    <n v="260"/>
    <n v="350"/>
    <n v="1177"/>
    <n v="20597.5"/>
    <x v="33"/>
  </r>
  <r>
    <x v="0"/>
    <s v="Santos"/>
    <x v="3"/>
    <n v="260"/>
    <n v="350"/>
    <n v="1197"/>
    <n v="20947.5"/>
    <x v="33"/>
  </r>
  <r>
    <x v="0"/>
    <s v="Sorocaba"/>
    <x v="3"/>
    <n v="260"/>
    <n v="350"/>
    <n v="1594"/>
    <n v="27895"/>
    <x v="33"/>
  </r>
  <r>
    <x v="1"/>
    <s v="Campinas"/>
    <x v="6"/>
    <n v="10"/>
    <n v="15"/>
    <n v="3000"/>
    <n v="300"/>
    <x v="33"/>
  </r>
  <r>
    <x v="3"/>
    <s v="Campinas"/>
    <x v="6"/>
    <n v="120"/>
    <n v="125"/>
    <n v="2529"/>
    <n v="15806.25"/>
    <x v="33"/>
  </r>
  <r>
    <x v="3"/>
    <s v="Jundiaí"/>
    <x v="6"/>
    <n v="120"/>
    <n v="125"/>
    <n v="552"/>
    <n v="3450"/>
    <x v="33"/>
  </r>
  <r>
    <x v="4"/>
    <s v="Santo André"/>
    <x v="6"/>
    <n v="120"/>
    <n v="125"/>
    <n v="2387"/>
    <n v="14918.75"/>
    <x v="33"/>
  </r>
  <r>
    <x v="3"/>
    <s v="Santos"/>
    <x v="6"/>
    <n v="120"/>
    <n v="125"/>
    <n v="877"/>
    <n v="5481.25"/>
    <x v="33"/>
  </r>
  <r>
    <x v="3"/>
    <s v="Santos"/>
    <x v="6"/>
    <n v="120"/>
    <n v="125"/>
    <n v="1744"/>
    <n v="10900"/>
    <x v="33"/>
  </r>
  <r>
    <x v="3"/>
    <s v="Campinas"/>
    <x v="0"/>
    <n v="10"/>
    <n v="15"/>
    <n v="2300"/>
    <n v="0"/>
    <x v="34"/>
  </r>
  <r>
    <x v="3"/>
    <s v="Jundiaí"/>
    <x v="0"/>
    <n v="10"/>
    <n v="15"/>
    <n v="711"/>
    <n v="533.25"/>
    <x v="34"/>
  </r>
  <r>
    <x v="3"/>
    <s v="Santo André"/>
    <x v="0"/>
    <n v="10"/>
    <n v="15"/>
    <n v="615"/>
    <n v="0"/>
    <x v="34"/>
  </r>
  <r>
    <x v="3"/>
    <s v="Santos"/>
    <x v="0"/>
    <n v="10"/>
    <n v="15"/>
    <n v="2072"/>
    <n v="1554"/>
    <x v="34"/>
  </r>
  <r>
    <x v="3"/>
    <s v="Santos"/>
    <x v="0"/>
    <n v="10"/>
    <n v="15"/>
    <n v="2157"/>
    <n v="1617.75"/>
    <x v="34"/>
  </r>
  <r>
    <x v="3"/>
    <s v="Campinas"/>
    <x v="0"/>
    <n v="120"/>
    <n v="125"/>
    <n v="2729"/>
    <n v="17056.25"/>
    <x v="34"/>
  </r>
  <r>
    <x v="2"/>
    <s v="Campinas"/>
    <x v="0"/>
    <n v="250"/>
    <n v="300"/>
    <n v="1916"/>
    <n v="0"/>
    <x v="34"/>
  </r>
  <r>
    <x v="2"/>
    <s v="Campinas"/>
    <x v="0"/>
    <n v="250"/>
    <n v="300"/>
    <n v="1250"/>
    <n v="18750"/>
    <x v="34"/>
  </r>
  <r>
    <x v="2"/>
    <s v="Campinas"/>
    <x v="0"/>
    <n v="250"/>
    <n v="300"/>
    <n v="1916"/>
    <n v="28740"/>
    <x v="34"/>
  </r>
  <r>
    <x v="2"/>
    <s v="Santo André"/>
    <x v="0"/>
    <n v="250"/>
    <n v="300"/>
    <n v="1372"/>
    <n v="20580"/>
    <x v="34"/>
  </r>
  <r>
    <x v="2"/>
    <s v="Santos"/>
    <x v="0"/>
    <n v="250"/>
    <n v="300"/>
    <n v="635"/>
    <n v="9525"/>
    <x v="34"/>
  </r>
  <r>
    <x v="2"/>
    <s v="Sorocaba"/>
    <x v="0"/>
    <n v="250"/>
    <n v="300"/>
    <n v="853"/>
    <n v="12795"/>
    <x v="34"/>
  </r>
  <r>
    <x v="4"/>
    <s v="Campinas"/>
    <x v="1"/>
    <n v="3"/>
    <n v="12"/>
    <n v="2431"/>
    <n v="1458.6000000000001"/>
    <x v="34"/>
  </r>
  <r>
    <x v="0"/>
    <s v="Jundiaí"/>
    <x v="1"/>
    <n v="5"/>
    <n v="7"/>
    <n v="280"/>
    <n v="137.19999999999999"/>
    <x v="34"/>
  </r>
  <r>
    <x v="0"/>
    <s v="Santo André"/>
    <x v="1"/>
    <n v="5"/>
    <n v="7"/>
    <n v="570"/>
    <n v="99.75"/>
    <x v="34"/>
  </r>
  <r>
    <x v="0"/>
    <s v="Santos"/>
    <x v="1"/>
    <n v="5"/>
    <n v="7"/>
    <n v="521"/>
    <n v="182.35000000000002"/>
    <x v="34"/>
  </r>
  <r>
    <x v="0"/>
    <s v="Sorocaba"/>
    <x v="1"/>
    <n v="5"/>
    <n v="7"/>
    <n v="2487"/>
    <n v="870.45"/>
    <x v="34"/>
  </r>
  <r>
    <x v="0"/>
    <s v="Campinas"/>
    <x v="1"/>
    <n v="10"/>
    <n v="20"/>
    <n v="1817"/>
    <n v="0"/>
    <x v="34"/>
  </r>
  <r>
    <x v="0"/>
    <s v="Campinas"/>
    <x v="1"/>
    <n v="260"/>
    <n v="350"/>
    <n v="400"/>
    <n v="7000"/>
    <x v="34"/>
  </r>
  <r>
    <x v="0"/>
    <s v="Campinas"/>
    <x v="1"/>
    <n v="260"/>
    <n v="350"/>
    <n v="500"/>
    <n v="8750"/>
    <x v="34"/>
  </r>
  <r>
    <x v="0"/>
    <s v="Jundiaí"/>
    <x v="1"/>
    <n v="260"/>
    <n v="350"/>
    <n v="200"/>
    <n v="0"/>
    <x v="34"/>
  </r>
  <r>
    <x v="0"/>
    <s v="Santo André"/>
    <x v="1"/>
    <n v="260"/>
    <n v="350"/>
    <n v="274"/>
    <n v="4795"/>
    <x v="34"/>
  </r>
  <r>
    <x v="2"/>
    <s v="Santos"/>
    <x v="1"/>
    <n v="260"/>
    <n v="350"/>
    <n v="1362"/>
    <n v="23835"/>
    <x v="34"/>
  </r>
  <r>
    <x v="0"/>
    <s v="Sorocaba"/>
    <x v="1"/>
    <n v="260"/>
    <n v="350"/>
    <n v="2155"/>
    <n v="37712.5"/>
    <x v="34"/>
  </r>
  <r>
    <x v="4"/>
    <s v="Campinas"/>
    <x v="4"/>
    <n v="3"/>
    <n v="12"/>
    <n v="2431"/>
    <n v="1458.6000000000001"/>
    <x v="34"/>
  </r>
  <r>
    <x v="4"/>
    <s v="Jundiaí"/>
    <x v="4"/>
    <n v="3"/>
    <n v="12"/>
    <n v="1013"/>
    <n v="607.80000000000007"/>
    <x v="34"/>
  </r>
  <r>
    <x v="4"/>
    <s v="Santo André"/>
    <x v="4"/>
    <n v="3"/>
    <n v="12"/>
    <n v="914"/>
    <n v="548.4"/>
    <x v="34"/>
  </r>
  <r>
    <x v="4"/>
    <s v="Santos"/>
    <x v="4"/>
    <n v="3"/>
    <n v="12"/>
    <n v="1084"/>
    <n v="130.08000000000001"/>
    <x v="34"/>
  </r>
  <r>
    <x v="4"/>
    <s v="Sorocaba"/>
    <x v="4"/>
    <n v="3"/>
    <n v="12"/>
    <n v="1055"/>
    <n v="126.6"/>
    <x v="34"/>
  </r>
  <r>
    <x v="0"/>
    <s v="Campinas"/>
    <x v="4"/>
    <n v="5"/>
    <n v="7"/>
    <n v="1582"/>
    <n v="553.70000000000005"/>
    <x v="34"/>
  </r>
  <r>
    <x v="2"/>
    <s v="Campinas"/>
    <x v="4"/>
    <n v="250"/>
    <n v="300"/>
    <n v="1250"/>
    <n v="18750"/>
    <x v="34"/>
  </r>
  <r>
    <x v="2"/>
    <s v="Santo André"/>
    <x v="4"/>
    <n v="250"/>
    <n v="300"/>
    <n v="1372"/>
    <n v="20580"/>
    <x v="34"/>
  </r>
  <r>
    <x v="2"/>
    <s v="Santos"/>
    <x v="4"/>
    <n v="250"/>
    <n v="300"/>
    <n v="635"/>
    <n v="9525"/>
    <x v="34"/>
  </r>
  <r>
    <x v="2"/>
    <s v="Sorocaba"/>
    <x v="4"/>
    <n v="250"/>
    <n v="300"/>
    <n v="853"/>
    <n v="12795"/>
    <x v="34"/>
  </r>
  <r>
    <x v="3"/>
    <s v="Campinas"/>
    <x v="2"/>
    <n v="10"/>
    <n v="15"/>
    <n v="2300"/>
    <n v="0"/>
    <x v="34"/>
  </r>
  <r>
    <x v="3"/>
    <s v="Jundiaí"/>
    <x v="2"/>
    <n v="10"/>
    <n v="15"/>
    <n v="711"/>
    <n v="533.25"/>
    <x v="34"/>
  </r>
  <r>
    <x v="3"/>
    <s v="Santo André"/>
    <x v="2"/>
    <n v="10"/>
    <n v="15"/>
    <n v="615"/>
    <n v="0"/>
    <x v="34"/>
  </r>
  <r>
    <x v="3"/>
    <s v="Santos"/>
    <x v="2"/>
    <n v="10"/>
    <n v="15"/>
    <n v="2072"/>
    <n v="1554"/>
    <x v="34"/>
  </r>
  <r>
    <x v="3"/>
    <s v="Santos"/>
    <x v="2"/>
    <n v="10"/>
    <n v="15"/>
    <n v="2157"/>
    <n v="1617.75"/>
    <x v="34"/>
  </r>
  <r>
    <x v="3"/>
    <s v="Jundiaí"/>
    <x v="2"/>
    <n v="120"/>
    <n v="125"/>
    <n v="1706"/>
    <n v="10662.5"/>
    <x v="34"/>
  </r>
  <r>
    <x v="4"/>
    <s v="Santo André"/>
    <x v="2"/>
    <n v="120"/>
    <n v="125"/>
    <n v="2797"/>
    <n v="17481.25"/>
    <x v="34"/>
  </r>
  <r>
    <x v="3"/>
    <s v="Santos"/>
    <x v="2"/>
    <n v="120"/>
    <n v="125"/>
    <n v="1138"/>
    <n v="7112.5"/>
    <x v="34"/>
  </r>
  <r>
    <x v="3"/>
    <s v="Sorocaba"/>
    <x v="2"/>
    <n v="120"/>
    <n v="125"/>
    <n v="1287"/>
    <n v="0"/>
    <x v="34"/>
  </r>
  <r>
    <x v="4"/>
    <s v="Jundiaí"/>
    <x v="3"/>
    <n v="3"/>
    <n v="12"/>
    <n v="1013"/>
    <n v="607.80000000000007"/>
    <x v="34"/>
  </r>
  <r>
    <x v="4"/>
    <s v="Santo André"/>
    <x v="3"/>
    <n v="3"/>
    <n v="12"/>
    <n v="914"/>
    <n v="548.4"/>
    <x v="34"/>
  </r>
  <r>
    <x v="4"/>
    <s v="Santos"/>
    <x v="3"/>
    <n v="3"/>
    <n v="12"/>
    <n v="1084"/>
    <n v="130.08000000000001"/>
    <x v="34"/>
  </r>
  <r>
    <x v="4"/>
    <s v="Sorocaba"/>
    <x v="3"/>
    <n v="3"/>
    <n v="12"/>
    <n v="1055"/>
    <n v="126.6"/>
    <x v="34"/>
  </r>
  <r>
    <x v="0"/>
    <s v="Jundiaí"/>
    <x v="3"/>
    <n v="10"/>
    <n v="20"/>
    <n v="200"/>
    <n v="200"/>
    <x v="34"/>
  </r>
  <r>
    <x v="0"/>
    <s v="Santo André"/>
    <x v="3"/>
    <n v="10"/>
    <n v="20"/>
    <n v="80"/>
    <n v="80"/>
    <x v="34"/>
  </r>
  <r>
    <x v="0"/>
    <s v="Santos"/>
    <x v="3"/>
    <n v="10"/>
    <n v="20"/>
    <n v="1233"/>
    <n v="1233"/>
    <x v="34"/>
  </r>
  <r>
    <x v="4"/>
    <s v="Sorocaba"/>
    <x v="3"/>
    <n v="10"/>
    <n v="20"/>
    <n v="293"/>
    <n v="293"/>
    <x v="34"/>
  </r>
  <r>
    <x v="3"/>
    <s v="Jundiaí"/>
    <x v="3"/>
    <n v="120"/>
    <n v="125"/>
    <n v="1706"/>
    <n v="10662.5"/>
    <x v="34"/>
  </r>
  <r>
    <x v="4"/>
    <s v="Santo André"/>
    <x v="3"/>
    <n v="120"/>
    <n v="125"/>
    <n v="2797"/>
    <n v="17481.25"/>
    <x v="34"/>
  </r>
  <r>
    <x v="3"/>
    <s v="Santos"/>
    <x v="3"/>
    <n v="120"/>
    <n v="125"/>
    <n v="1138"/>
    <n v="7112.5"/>
    <x v="34"/>
  </r>
  <r>
    <x v="3"/>
    <s v="Sorocaba"/>
    <x v="3"/>
    <n v="120"/>
    <n v="125"/>
    <n v="1287"/>
    <n v="0"/>
    <x v="34"/>
  </r>
  <r>
    <x v="0"/>
    <s v="Jundiaí"/>
    <x v="3"/>
    <n v="260"/>
    <n v="350"/>
    <n v="200"/>
    <n v="0"/>
    <x v="34"/>
  </r>
  <r>
    <x v="0"/>
    <s v="Santo André"/>
    <x v="3"/>
    <n v="260"/>
    <n v="350"/>
    <n v="274"/>
    <n v="4795"/>
    <x v="34"/>
  </r>
  <r>
    <x v="2"/>
    <s v="Santos"/>
    <x v="3"/>
    <n v="260"/>
    <n v="350"/>
    <n v="1362"/>
    <n v="23835"/>
    <x v="34"/>
  </r>
  <r>
    <x v="4"/>
    <s v="Sorocaba"/>
    <x v="3"/>
    <n v="260"/>
    <n v="350"/>
    <n v="2155"/>
    <n v="37712.5"/>
    <x v="34"/>
  </r>
  <r>
    <x v="0"/>
    <s v="Campinas"/>
    <x v="6"/>
    <n v="5"/>
    <n v="7"/>
    <n v="1582"/>
    <n v="553.70000000000005"/>
    <x v="34"/>
  </r>
  <r>
    <x v="0"/>
    <s v="Jundiaí"/>
    <x v="6"/>
    <n v="5"/>
    <n v="7"/>
    <n v="280"/>
    <n v="137.19999999999999"/>
    <x v="34"/>
  </r>
  <r>
    <x v="0"/>
    <s v="Santo André"/>
    <x v="6"/>
    <n v="5"/>
    <n v="7"/>
    <n v="570"/>
    <n v="99.75"/>
    <x v="34"/>
  </r>
  <r>
    <x v="0"/>
    <s v="Santos"/>
    <x v="6"/>
    <n v="5"/>
    <n v="7"/>
    <n v="521"/>
    <n v="182.35000000000002"/>
    <x v="34"/>
  </r>
  <r>
    <x v="4"/>
    <s v="Sorocaba"/>
    <x v="6"/>
    <n v="5"/>
    <n v="7"/>
    <n v="2487"/>
    <n v="870.45"/>
    <x v="34"/>
  </r>
  <r>
    <x v="0"/>
    <s v="Campinas"/>
    <x v="6"/>
    <n v="10"/>
    <n v="20"/>
    <n v="1817"/>
    <n v="0"/>
    <x v="34"/>
  </r>
  <r>
    <x v="1"/>
    <s v="Jundiaí"/>
    <x v="6"/>
    <n v="10"/>
    <n v="15"/>
    <n v="1175"/>
    <n v="881.25"/>
    <x v="34"/>
  </r>
  <r>
    <x v="0"/>
    <s v="Jundiaí"/>
    <x v="6"/>
    <n v="10"/>
    <n v="20"/>
    <n v="150"/>
    <n v="0"/>
    <x v="34"/>
  </r>
  <r>
    <x v="0"/>
    <s v="Santo André"/>
    <x v="6"/>
    <n v="10"/>
    <n v="20"/>
    <n v="50"/>
    <n v="50"/>
    <x v="34"/>
  </r>
  <r>
    <x v="0"/>
    <s v="Santos"/>
    <x v="6"/>
    <n v="10"/>
    <n v="20"/>
    <n v="1233"/>
    <n v="1233"/>
    <x v="34"/>
  </r>
  <r>
    <x v="4"/>
    <s v="Sorocaba"/>
    <x v="6"/>
    <n v="10"/>
    <n v="20"/>
    <n v="293"/>
    <n v="293"/>
    <x v="34"/>
  </r>
  <r>
    <x v="3"/>
    <s v="Campinas"/>
    <x v="6"/>
    <n v="120"/>
    <n v="125"/>
    <n v="2729"/>
    <n v="17056.25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A9586-1148-4FB9-BF0F-9A3806518146}" name="Tabela dinâmica2" cacheId="6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A14:A15" firstHeaderRow="1" firstDataRow="1" firstDataCol="0" rowPageCount="1" colPageCount="1"/>
  <pivotFields count="11">
    <pivotField compact="0" outline="0" showAll="0">
      <items count="10">
        <item m="1" x="7"/>
        <item x="3"/>
        <item m="1" x="6"/>
        <item m="1" x="8"/>
        <item x="2"/>
        <item x="0"/>
        <item x="4"/>
        <item x="1"/>
        <item x="5"/>
        <item t="default"/>
      </items>
    </pivotField>
    <pivotField compact="0" outline="0" showAll="0"/>
    <pivotField compact="0" outline="0" showAll="0">
      <items count="8">
        <item x="0"/>
        <item x="1"/>
        <item x="4"/>
        <item x="2"/>
        <item x="3"/>
        <item x="6"/>
        <item x="5"/>
        <item t="default"/>
      </items>
    </pivotField>
    <pivotField compact="0" numFmtId="44" outline="0" showAll="0"/>
    <pivotField compact="0" numFmtId="166" outline="0" showAll="0"/>
    <pivotField dataField="1" compact="0" outline="0" showAll="0"/>
    <pivotField compact="0" numFmtId="44" outline="0" showAll="0"/>
    <pivotField axis="axisPage" compact="0" numFmtId="14" outline="0" multipleItemSelectionAllowed="1" showAll="0">
      <items count="71">
        <item m="1" x="44"/>
        <item m="1" x="45"/>
        <item m="1" x="46"/>
        <item m="1" x="47"/>
        <item m="1" x="48"/>
        <item m="1" x="49"/>
        <item m="1" x="50"/>
        <item m="1" x="51"/>
        <item m="1" x="58"/>
        <item m="1" x="52"/>
        <item m="1" x="53"/>
        <item m="1" x="54"/>
        <item m="1" x="55"/>
        <item m="1" x="56"/>
        <item m="1" x="59"/>
        <item m="1" x="57"/>
        <item m="1" x="36"/>
        <item m="1" x="37"/>
        <item m="1" x="38"/>
        <item m="1" x="39"/>
        <item m="1" x="40"/>
        <item m="1" x="41"/>
        <item m="1" x="69"/>
        <item m="1" x="60"/>
        <item m="1" x="68"/>
        <item m="1" x="66"/>
        <item m="1" x="42"/>
        <item m="1" x="67"/>
        <item m="1" x="61"/>
        <item m="1" x="43"/>
        <item m="1" x="65"/>
        <item m="1" x="62"/>
        <item m="1" x="63"/>
        <item m="1" x="64"/>
        <item m="1"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pageFields count="1">
    <pageField fld="7" hier="-1"/>
  </pageFields>
  <dataFields count="1">
    <dataField name="Máx. de Unidades Vendidas" fld="5" subtotal="max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5DEA3-4D73-4C2E-A4B6-C16ED8902BA0}" name="Tabela dinâmica6" cacheId="6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A38:H52" firstHeaderRow="1" firstDataRow="2" firstDataCol="1" rowPageCount="1" colPageCount="1"/>
  <pivotFields count="11">
    <pivotField axis="axisCol" compact="0" outline="0" showAll="0" sortType="descending">
      <items count="10">
        <item m="1" x="7"/>
        <item x="3"/>
        <item m="1" x="8"/>
        <item x="0"/>
        <item x="4"/>
        <item x="2"/>
        <item m="1" x="6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8">
        <item x="0"/>
        <item x="1"/>
        <item x="4"/>
        <item x="2"/>
        <item x="3"/>
        <item x="6"/>
        <item x="5"/>
        <item t="default"/>
      </items>
    </pivotField>
    <pivotField compact="0" numFmtId="44" outline="0" showAll="0"/>
    <pivotField compact="0" numFmtId="166" outline="0" showAll="0"/>
    <pivotField dataField="1" compact="0" outline="0" showAll="0"/>
    <pivotField compact="0" numFmtId="44" outline="0" showAll="0"/>
    <pivotField compact="0" numFmtId="14" outline="0" multipleItemSelectionAllowed="1" showAll="0">
      <items count="71">
        <item m="1" x="44"/>
        <item m="1" x="45"/>
        <item m="1" x="46"/>
        <item m="1" x="47"/>
        <item m="1" x="48"/>
        <item m="1" x="49"/>
        <item m="1" x="50"/>
        <item m="1" x="51"/>
        <item m="1" x="58"/>
        <item m="1" x="52"/>
        <item m="1" x="53"/>
        <item m="1" x="54"/>
        <item m="1" x="55"/>
        <item m="1" x="56"/>
        <item m="1" x="59"/>
        <item m="1" x="57"/>
        <item m="1" x="36"/>
        <item m="1" x="37"/>
        <item m="1" x="38"/>
        <item m="1" x="39"/>
        <item m="1" x="40"/>
        <item m="1" x="41"/>
        <item m="1" x="69"/>
        <item m="1" x="60"/>
        <item m="1" x="68"/>
        <item m="1" x="66"/>
        <item m="1" x="42"/>
        <item m="1" x="67"/>
        <item m="1" x="61"/>
        <item m="1" x="43"/>
        <item m="1" x="65"/>
        <item m="1" x="62"/>
        <item m="1" x="63"/>
        <item m="1" x="64"/>
        <item m="1"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axis="axisPage" compact="0" outline="0"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7">
    <i>
      <x v="4"/>
    </i>
    <i>
      <x v="5"/>
    </i>
    <i>
      <x v="3"/>
    </i>
    <i>
      <x v="7"/>
    </i>
    <i>
      <x v="1"/>
    </i>
    <i>
      <x v="8"/>
    </i>
    <i t="grand">
      <x/>
    </i>
  </colItems>
  <pageFields count="1">
    <pageField fld="10" item="1" hier="-1"/>
  </pageFields>
  <dataFields count="1">
    <dataField name="Soma de Unidades Vendidas" fld="5" baseField="0" baseItem="0" numFmtId="43"/>
  </dataFields>
  <formats count="1"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69D73-BF1B-403F-B6F4-C7F82522677A}" name="Tabela dinâmica5" cacheId="6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A25:B32" firstHeaderRow="1" firstDataRow="1" firstDataCol="1" rowPageCount="1" colPageCount="1"/>
  <pivotFields count="11">
    <pivotField axis="axisRow" compact="0" outline="0" showAll="0" sortType="descending">
      <items count="10">
        <item m="1" x="7"/>
        <item x="3"/>
        <item m="1" x="8"/>
        <item x="0"/>
        <item x="4"/>
        <item x="2"/>
        <item m="1" x="6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8">
        <item x="0"/>
        <item x="1"/>
        <item x="4"/>
        <item x="2"/>
        <item x="3"/>
        <item x="6"/>
        <item x="5"/>
        <item t="default"/>
      </items>
    </pivotField>
    <pivotField compact="0" numFmtId="44" outline="0" showAll="0"/>
    <pivotField compact="0" numFmtId="166" outline="0" showAll="0"/>
    <pivotField dataField="1" compact="0" outline="0" showAll="0"/>
    <pivotField compact="0" numFmtId="44" outline="0" showAll="0"/>
    <pivotField axis="axisPage" compact="0" numFmtId="14" outline="0" multipleItemSelectionAllowed="1" showAll="0">
      <items count="71">
        <item m="1" x="44"/>
        <item m="1" x="45"/>
        <item m="1" x="46"/>
        <item m="1" x="47"/>
        <item m="1" x="48"/>
        <item m="1" x="49"/>
        <item m="1" x="50"/>
        <item m="1" x="51"/>
        <item m="1" x="58"/>
        <item m="1" x="52"/>
        <item m="1" x="53"/>
        <item m="1" x="54"/>
        <item m="1" x="55"/>
        <item m="1" x="56"/>
        <item m="1" x="59"/>
        <item m="1" x="57"/>
        <item m="1" x="36"/>
        <item m="1" x="37"/>
        <item m="1" x="38"/>
        <item m="1" x="39"/>
        <item m="1" x="40"/>
        <item m="1" x="41"/>
        <item m="1" x="69"/>
        <item m="1" x="60"/>
        <item m="1" x="68"/>
        <item m="1" x="66"/>
        <item m="1" x="42"/>
        <item m="1" x="67"/>
        <item m="1" x="61"/>
        <item m="1" x="43"/>
        <item m="1" x="65"/>
        <item m="1" x="62"/>
        <item m="1" x="63"/>
        <item m="1" x="64"/>
        <item m="1"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7">
    <i>
      <x v="4"/>
    </i>
    <i>
      <x v="3"/>
    </i>
    <i>
      <x v="5"/>
    </i>
    <i>
      <x v="1"/>
    </i>
    <i>
      <x v="7"/>
    </i>
    <i>
      <x v="8"/>
    </i>
    <i t="grand">
      <x/>
    </i>
  </rowItems>
  <colItems count="1">
    <i/>
  </colItems>
  <pageFields count="1">
    <pageField fld="7" hier="-1"/>
  </pageFields>
  <dataFields count="1">
    <dataField name="Soma de Unidades Vendidas" fld="5" baseField="0" baseItem="0" numFmtId="43"/>
  </dataFields>
  <formats count="1"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0D4DB-87F9-426C-8299-68131308C030}" name="Tabela dinâmica1" cacheId="6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A4:A5" firstHeaderRow="1" firstDataRow="1" firstDataCol="0" rowPageCount="1" colPageCount="1"/>
  <pivotFields count="11">
    <pivotField compact="0" outline="0" showAll="0">
      <items count="10">
        <item m="1" x="7"/>
        <item x="3"/>
        <item m="1" x="6"/>
        <item m="1" x="8"/>
        <item x="2"/>
        <item x="0"/>
        <item x="4"/>
        <item x="1"/>
        <item x="5"/>
        <item t="default"/>
      </items>
    </pivotField>
    <pivotField compact="0" outline="0" showAll="0"/>
    <pivotField compact="0" outline="0" showAll="0">
      <items count="8">
        <item x="0"/>
        <item x="1"/>
        <item x="4"/>
        <item x="2"/>
        <item x="3"/>
        <item x="6"/>
        <item x="5"/>
        <item t="default"/>
      </items>
    </pivotField>
    <pivotField compact="0" numFmtId="44" outline="0" showAll="0"/>
    <pivotField compact="0" numFmtId="166" outline="0" showAll="0"/>
    <pivotField dataField="1" compact="0" outline="0" showAll="0"/>
    <pivotField compact="0" numFmtId="44" outline="0" showAll="0"/>
    <pivotField axis="axisPage" compact="0" numFmtId="14" outline="0" multipleItemSelectionAllowed="1" showAll="0">
      <items count="71">
        <item m="1" x="44"/>
        <item m="1" x="45"/>
        <item m="1" x="46"/>
        <item m="1" x="47"/>
        <item m="1" x="48"/>
        <item m="1" x="49"/>
        <item m="1" x="50"/>
        <item m="1" x="51"/>
        <item m="1" x="58"/>
        <item m="1" x="52"/>
        <item m="1" x="53"/>
        <item m="1" x="54"/>
        <item m="1" x="55"/>
        <item m="1" x="56"/>
        <item m="1" x="59"/>
        <item m="1" x="57"/>
        <item m="1" x="36"/>
        <item m="1" x="37"/>
        <item m="1" x="38"/>
        <item m="1" x="39"/>
        <item m="1" x="40"/>
        <item m="1" x="41"/>
        <item m="1" x="69"/>
        <item m="1" x="60"/>
        <item m="1" x="68"/>
        <item m="1" x="66"/>
        <item m="1" x="42"/>
        <item m="1" x="67"/>
        <item m="1" x="61"/>
        <item m="1" x="43"/>
        <item m="1" x="65"/>
        <item m="1" x="62"/>
        <item m="1" x="63"/>
        <item m="1" x="64"/>
        <item m="1"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pageFields count="1">
    <pageField fld="7" hier="-1"/>
  </pageFields>
  <dataFields count="1">
    <dataField name="Soma de Unidades Vendidas" fld="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279DA-FAF5-46C4-A9A9-709E9ED7BE03}" name="Tabela dinâmica4" cacheId="6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H16:I24" firstHeaderRow="1" firstDataRow="1" firstDataCol="1" rowPageCount="1" colPageCount="1"/>
  <pivotFields count="11">
    <pivotField compact="0" outline="0" showAll="0">
      <items count="10">
        <item m="1" x="7"/>
        <item x="3"/>
        <item m="1" x="6"/>
        <item m="1" x="8"/>
        <item x="2"/>
        <item x="0"/>
        <item x="4"/>
        <item x="1"/>
        <item x="5"/>
        <item t="default"/>
      </items>
    </pivotField>
    <pivotField compact="0" outline="0" showAll="0"/>
    <pivotField axis="axisRow" compact="0" outline="0" showAll="0" sortType="descending">
      <items count="8">
        <item x="0"/>
        <item x="1"/>
        <item x="4"/>
        <item x="2"/>
        <item x="3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44" outline="0" showAll="0"/>
    <pivotField compact="0" numFmtId="166" outline="0" showAll="0"/>
    <pivotField dataField="1" compact="0" outline="0" showAll="0"/>
    <pivotField compact="0" numFmtId="44" outline="0" showAll="0"/>
    <pivotField axis="axisPage" compact="0" numFmtId="14" outline="0" multipleItemSelectionAllowed="1" showAll="0">
      <items count="71">
        <item m="1" x="44"/>
        <item m="1" x="45"/>
        <item m="1" x="46"/>
        <item m="1" x="47"/>
        <item m="1" x="48"/>
        <item m="1" x="49"/>
        <item m="1" x="50"/>
        <item m="1" x="51"/>
        <item m="1" x="58"/>
        <item m="1" x="52"/>
        <item m="1" x="53"/>
        <item m="1" x="54"/>
        <item m="1" x="55"/>
        <item m="1" x="56"/>
        <item m="1" x="59"/>
        <item m="1" x="57"/>
        <item m="1" x="36"/>
        <item m="1" x="37"/>
        <item m="1" x="38"/>
        <item m="1" x="39"/>
        <item m="1" x="40"/>
        <item m="1" x="41"/>
        <item m="1" x="69"/>
        <item m="1" x="60"/>
        <item m="1" x="68"/>
        <item m="1" x="66"/>
        <item m="1" x="42"/>
        <item m="1" x="67"/>
        <item m="1" x="61"/>
        <item m="1" x="43"/>
        <item m="1" x="65"/>
        <item m="1" x="62"/>
        <item m="1" x="63"/>
        <item m="1" x="64"/>
        <item m="1"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8">
    <i>
      <x v="2"/>
    </i>
    <i>
      <x v="4"/>
    </i>
    <i>
      <x/>
    </i>
    <i>
      <x v="3"/>
    </i>
    <i>
      <x v="5"/>
    </i>
    <i>
      <x v="1"/>
    </i>
    <i>
      <x v="6"/>
    </i>
    <i t="grand">
      <x/>
    </i>
  </rowItems>
  <colItems count="1">
    <i/>
  </colItems>
  <pageFields count="1">
    <pageField fld="7" hier="-1"/>
  </pageFields>
  <dataFields count="1">
    <dataField name="Soma de Unidades Vendidas" fld="5" baseField="2" baseItem="0" numFmtId="3"/>
  </dataFields>
  <formats count="5">
    <format dxfId="46">
      <pivotArea dataOnly="0" labelOnly="1" outline="0" fieldPosition="0">
        <references count="1">
          <reference field="7" count="0"/>
        </references>
      </pivotArea>
    </format>
    <format dxfId="45">
      <pivotArea outline="0" collapsedLevelsAreSubtotals="1" fieldPosition="0"/>
    </format>
    <format dxfId="44">
      <pivotArea type="topRight" dataOnly="0" labelOnly="1" outline="0" fieldPosition="0"/>
    </format>
    <format dxfId="43">
      <pivotArea dataOnly="0" labelOnly="1" grandCol="1" outline="0" fieldPosition="0"/>
    </format>
    <format dxfId="4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F86EC-2861-4AB3-B38A-EC22C9A550CB}" name="Tabela dinâmica3" cacheId="6" applyNumberFormats="0" applyBorderFormats="0" applyFontFormats="0" applyPatternFormats="0" applyAlignmentFormats="0" applyWidthHeightFormats="1" dataCaption="Valores" updatedVersion="8" minRefreshableVersion="3" colGrandTotals="0" itemPrintTitles="1" createdVersion="6" indent="0" compact="0" compactData="0" multipleFieldFilters="0">
  <location ref="H3:I11" firstHeaderRow="1" firstDataRow="1" firstDataCol="1" rowPageCount="1" colPageCount="1"/>
  <pivotFields count="11">
    <pivotField compact="0" outline="0" showAll="0">
      <items count="10">
        <item m="1" x="7"/>
        <item x="3"/>
        <item m="1" x="6"/>
        <item m="1" x="8"/>
        <item x="2"/>
        <item x="0"/>
        <item x="4"/>
        <item x="1"/>
        <item x="5"/>
        <item t="default"/>
      </items>
    </pivotField>
    <pivotField compact="0" outline="0" showAll="0"/>
    <pivotField axis="axisRow" compact="0" outline="0" showAll="0" sortType="descending">
      <items count="8">
        <item x="0"/>
        <item x="1"/>
        <item x="4"/>
        <item x="2"/>
        <item x="3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44" outline="0" showAll="0"/>
    <pivotField compact="0" numFmtId="166" outline="0" showAll="0"/>
    <pivotField dataField="1" compact="0" outline="0" showAll="0"/>
    <pivotField compact="0" numFmtId="44" outline="0" showAll="0"/>
    <pivotField axis="axisPage" compact="0" numFmtId="14" outline="0" multipleItemSelectionAllowed="1" showAll="0">
      <items count="71">
        <item m="1" x="44"/>
        <item m="1" x="45"/>
        <item m="1" x="46"/>
        <item m="1" x="47"/>
        <item m="1" x="48"/>
        <item m="1" x="49"/>
        <item m="1" x="50"/>
        <item m="1" x="51"/>
        <item m="1" x="58"/>
        <item m="1" x="52"/>
        <item m="1" x="53"/>
        <item m="1" x="54"/>
        <item m="1" x="55"/>
        <item m="1" x="56"/>
        <item m="1" x="59"/>
        <item m="1" x="57"/>
        <item m="1" x="36"/>
        <item m="1" x="37"/>
        <item m="1" x="38"/>
        <item m="1" x="39"/>
        <item m="1" x="40"/>
        <item m="1" x="41"/>
        <item m="1" x="69"/>
        <item m="1" x="60"/>
        <item m="1" x="68"/>
        <item m="1" x="66"/>
        <item m="1" x="42"/>
        <item m="1" x="67"/>
        <item m="1" x="61"/>
        <item m="1" x="43"/>
        <item m="1" x="65"/>
        <item m="1" x="62"/>
        <item m="1" x="63"/>
        <item m="1" x="64"/>
        <item m="1"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8">
    <i>
      <x v="2"/>
    </i>
    <i>
      <x v="4"/>
    </i>
    <i>
      <x/>
    </i>
    <i>
      <x v="3"/>
    </i>
    <i>
      <x v="5"/>
    </i>
    <i>
      <x v="1"/>
    </i>
    <i>
      <x v="6"/>
    </i>
    <i t="grand">
      <x/>
    </i>
  </rowItems>
  <colItems count="1">
    <i/>
  </colItems>
  <pageFields count="1">
    <pageField fld="7" hier="-1"/>
  </pageFields>
  <dataFields count="1">
    <dataField name="Ranking de Unidades Vendidas" fld="5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5">
    <format dxfId="51">
      <pivotArea dataOnly="0" labelOnly="1" outline="0" fieldPosition="0">
        <references count="1">
          <reference field="7" count="0"/>
        </references>
      </pivotArea>
    </format>
    <format dxfId="50">
      <pivotArea outline="0" collapsedLevelsAreSubtotals="1" fieldPosition="0"/>
    </format>
    <format dxfId="49">
      <pivotArea type="topRight" dataOnly="0" labelOnly="1" outline="0" fieldPosition="0"/>
    </format>
    <format dxfId="48">
      <pivotArea dataOnly="0" labelOnly="1" grandCol="1" outline="0" fieldPosition="0"/>
    </format>
    <format dxfId="4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AEDE2048-7429-4724-9FB9-F1CA2D82FD0F}" sourceName="Produto">
  <pivotTables>
    <pivotTable tabId="2" name="Tabela dinâmica1"/>
    <pivotTable tabId="2" name="Tabela dinâmica2"/>
    <pivotTable tabId="2" name="Tabela dinâmica3"/>
    <pivotTable tabId="2" name="Tabela dinâmica4"/>
    <pivotTable tabId="2" name="Tabela dinâmica5"/>
    <pivotTable tabId="2" name="Tabela dinâmica6"/>
  </pivotTables>
  <data>
    <tabular pivotCacheId="1795715170">
      <items count="7">
        <i x="0" s="1"/>
        <i x="1" s="1"/>
        <i x="4" s="1"/>
        <i x="2" s="1"/>
        <i x="3" s="1"/>
        <i x="6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gmento" xr10:uid="{DA5E0FC4-D70A-410B-BD0F-1F876451E989}" sourceName="Segmento">
  <pivotTables>
    <pivotTable tabId="2" name="Tabela dinâmica5"/>
  </pivotTables>
  <data>
    <tabular pivotCacheId="1795715170">
      <items count="9">
        <i x="3" s="1"/>
        <i x="2" s="1"/>
        <i x="0" s="1"/>
        <i x="4" s="1"/>
        <i x="1" s="1"/>
        <i x="5" s="1"/>
        <i x="7" s="1" nd="1"/>
        <i x="6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" xr10:uid="{FAFEBAD9-4B53-4607-BC3C-3A00A72309E0}" cache="SegmentaçãodeDados_Produto" caption="Produto" rowHeight="241300"/>
  <slicer name="Segmento" xr10:uid="{AAE3D62E-60C4-4862-A884-3FCC42B5C35A}" cache="SegmentaçãodeDados_Segmento" caption="Segmento" rowHeight="241300"/>
</slicer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AD5E-FEEC-451F-BAFE-AD748DF7038F}">
  <dimension ref="A1:J910"/>
  <sheetViews>
    <sheetView tabSelected="1" zoomScaleNormal="100" workbookViewId="0">
      <selection activeCell="J7" sqref="J7"/>
    </sheetView>
  </sheetViews>
  <sheetFormatPr defaultRowHeight="15" x14ac:dyDescent="0.25"/>
  <cols>
    <col min="1" max="1" width="20" customWidth="1"/>
    <col min="2" max="2" width="14.140625" bestFit="1" customWidth="1"/>
    <col min="3" max="3" width="11.85546875" bestFit="1" customWidth="1"/>
    <col min="4" max="4" width="17.5703125" style="22" bestFit="1" customWidth="1"/>
    <col min="5" max="5" width="24" style="22" bestFit="1" customWidth="1"/>
    <col min="6" max="6" width="21" style="18" customWidth="1"/>
    <col min="7" max="7" width="16.5703125" style="22" bestFit="1" customWidth="1"/>
    <col min="8" max="8" width="17.7109375" style="8" bestFit="1" customWidth="1"/>
  </cols>
  <sheetData>
    <row r="1" spans="1:10" x14ac:dyDescent="0.25">
      <c r="A1" s="1" t="s">
        <v>0</v>
      </c>
      <c r="B1" s="1" t="s">
        <v>45</v>
      </c>
      <c r="C1" s="2" t="s">
        <v>1</v>
      </c>
      <c r="D1" s="19" t="s">
        <v>19</v>
      </c>
      <c r="E1" s="19" t="s">
        <v>46</v>
      </c>
      <c r="F1" s="15" t="s">
        <v>18</v>
      </c>
      <c r="G1" s="19" t="s">
        <v>2</v>
      </c>
      <c r="H1" s="3" t="s">
        <v>3</v>
      </c>
    </row>
    <row r="2" spans="1:10" x14ac:dyDescent="0.25">
      <c r="A2" s="10" t="s">
        <v>15</v>
      </c>
      <c r="B2" s="10" t="s">
        <v>6</v>
      </c>
      <c r="C2" s="11" t="s">
        <v>12</v>
      </c>
      <c r="D2" s="20">
        <v>5</v>
      </c>
      <c r="E2" s="20">
        <v>7</v>
      </c>
      <c r="F2" s="16">
        <v>1159</v>
      </c>
      <c r="G2" s="20">
        <v>405.65000000000003</v>
      </c>
      <c r="H2" s="12">
        <v>45292</v>
      </c>
    </row>
    <row r="3" spans="1:10" x14ac:dyDescent="0.25">
      <c r="A3" s="10" t="s">
        <v>44</v>
      </c>
      <c r="B3" s="10" t="s">
        <v>10</v>
      </c>
      <c r="C3" s="11" t="s">
        <v>12</v>
      </c>
      <c r="D3" s="20">
        <v>10</v>
      </c>
      <c r="E3" s="20">
        <v>15</v>
      </c>
      <c r="F3" s="16">
        <v>1743</v>
      </c>
      <c r="G3" s="20">
        <v>1307.25</v>
      </c>
      <c r="H3" s="12">
        <v>45292</v>
      </c>
    </row>
    <row r="4" spans="1:10" x14ac:dyDescent="0.25">
      <c r="A4" s="10" t="s">
        <v>28</v>
      </c>
      <c r="B4" s="10" t="s">
        <v>6</v>
      </c>
      <c r="C4" s="11" t="s">
        <v>13</v>
      </c>
      <c r="D4" s="20">
        <v>10</v>
      </c>
      <c r="E4" s="20">
        <v>20</v>
      </c>
      <c r="F4" s="16">
        <v>442</v>
      </c>
      <c r="G4" s="20">
        <v>442</v>
      </c>
      <c r="H4" s="12">
        <v>45292</v>
      </c>
    </row>
    <row r="5" spans="1:10" x14ac:dyDescent="0.25">
      <c r="A5" s="10" t="s">
        <v>11</v>
      </c>
      <c r="B5" s="10" t="s">
        <v>10</v>
      </c>
      <c r="C5" s="11" t="s">
        <v>26</v>
      </c>
      <c r="D5" s="20">
        <v>120</v>
      </c>
      <c r="E5" s="20">
        <v>125</v>
      </c>
      <c r="F5" s="16">
        <v>345</v>
      </c>
      <c r="G5" s="20"/>
      <c r="H5" s="12">
        <v>45292</v>
      </c>
    </row>
    <row r="6" spans="1:10" x14ac:dyDescent="0.25">
      <c r="A6" s="10" t="s">
        <v>17</v>
      </c>
      <c r="B6" s="10" t="s">
        <v>9</v>
      </c>
      <c r="C6" s="11" t="s">
        <v>8</v>
      </c>
      <c r="D6" s="20">
        <v>260</v>
      </c>
      <c r="E6" s="20">
        <v>350</v>
      </c>
      <c r="F6" s="16">
        <v>349</v>
      </c>
      <c r="G6" s="20">
        <v>0</v>
      </c>
      <c r="H6" s="12">
        <v>45292</v>
      </c>
    </row>
    <row r="7" spans="1:10" x14ac:dyDescent="0.25">
      <c r="A7" s="10" t="s">
        <v>44</v>
      </c>
      <c r="B7" s="10" t="s">
        <v>6</v>
      </c>
      <c r="C7" s="11" t="s">
        <v>5</v>
      </c>
      <c r="D7" s="20">
        <v>10</v>
      </c>
      <c r="E7" s="20">
        <v>15</v>
      </c>
      <c r="F7" s="16">
        <v>660</v>
      </c>
      <c r="G7" s="20"/>
      <c r="H7" s="12">
        <v>45323</v>
      </c>
    </row>
    <row r="8" spans="1:10" x14ac:dyDescent="0.25">
      <c r="A8" s="10" t="s">
        <v>15</v>
      </c>
      <c r="B8" s="10" t="s">
        <v>6</v>
      </c>
      <c r="C8" s="11" t="s">
        <v>5</v>
      </c>
      <c r="D8" s="20">
        <v>260</v>
      </c>
      <c r="E8" s="20">
        <v>350</v>
      </c>
      <c r="F8" s="16">
        <v>547</v>
      </c>
      <c r="G8" s="20">
        <v>9572.5</v>
      </c>
      <c r="H8" s="12">
        <v>45323</v>
      </c>
    </row>
    <row r="9" spans="1:10" x14ac:dyDescent="0.25">
      <c r="A9" s="10" t="s">
        <v>28</v>
      </c>
      <c r="B9" s="10" t="s">
        <v>10</v>
      </c>
      <c r="C9" s="11" t="s">
        <v>14</v>
      </c>
      <c r="D9" s="20">
        <v>5</v>
      </c>
      <c r="E9" s="20">
        <v>7</v>
      </c>
      <c r="F9" s="16">
        <v>2409</v>
      </c>
      <c r="G9" s="20">
        <v>843.15000000000009</v>
      </c>
      <c r="H9" s="12">
        <v>45323</v>
      </c>
    </row>
    <row r="10" spans="1:10" x14ac:dyDescent="0.25">
      <c r="A10" s="10" t="s">
        <v>11</v>
      </c>
      <c r="B10" s="10" t="s">
        <v>6</v>
      </c>
      <c r="C10" s="11" t="s">
        <v>14</v>
      </c>
      <c r="D10" s="20">
        <v>120</v>
      </c>
      <c r="E10" s="20">
        <v>125</v>
      </c>
      <c r="F10" s="16">
        <v>2500</v>
      </c>
      <c r="G10" s="20">
        <v>15625</v>
      </c>
      <c r="H10" s="12">
        <v>45323</v>
      </c>
    </row>
    <row r="11" spans="1:10" x14ac:dyDescent="0.25">
      <c r="A11" s="10" t="s">
        <v>28</v>
      </c>
      <c r="B11" s="10"/>
      <c r="C11" s="11" t="s">
        <v>14</v>
      </c>
      <c r="D11" s="20">
        <v>250</v>
      </c>
      <c r="E11" s="20">
        <v>300</v>
      </c>
      <c r="F11" s="16">
        <v>1123</v>
      </c>
      <c r="G11" s="20">
        <v>16845</v>
      </c>
      <c r="H11" s="12">
        <v>45323</v>
      </c>
      <c r="I11" t="s">
        <v>25</v>
      </c>
      <c r="J11" t="s">
        <v>6</v>
      </c>
    </row>
    <row r="12" spans="1:10" x14ac:dyDescent="0.25">
      <c r="A12" s="10" t="s">
        <v>17</v>
      </c>
      <c r="B12" s="10" t="s">
        <v>9</v>
      </c>
      <c r="C12" s="11" t="s">
        <v>27</v>
      </c>
      <c r="D12" s="20">
        <v>250</v>
      </c>
      <c r="E12" s="20">
        <v>300</v>
      </c>
      <c r="F12" s="16">
        <v>2498</v>
      </c>
      <c r="G12" s="20"/>
      <c r="H12" s="12">
        <v>45323</v>
      </c>
    </row>
    <row r="13" spans="1:10" x14ac:dyDescent="0.25">
      <c r="A13" s="10" t="s">
        <v>28</v>
      </c>
      <c r="B13" s="10" t="s">
        <v>10</v>
      </c>
      <c r="C13" s="11" t="s">
        <v>14</v>
      </c>
      <c r="D13" s="20">
        <v>260</v>
      </c>
      <c r="E13" s="20">
        <v>350</v>
      </c>
      <c r="F13" s="16">
        <v>1797</v>
      </c>
      <c r="G13" s="20">
        <v>31447.5</v>
      </c>
      <c r="H13" s="12">
        <v>45323</v>
      </c>
    </row>
    <row r="14" spans="1:10" x14ac:dyDescent="0.25">
      <c r="A14" s="10" t="s">
        <v>44</v>
      </c>
      <c r="B14" s="10" t="s">
        <v>10</v>
      </c>
      <c r="C14" s="11" t="s">
        <v>8</v>
      </c>
      <c r="D14" s="20">
        <v>10</v>
      </c>
      <c r="E14" s="20">
        <v>15</v>
      </c>
      <c r="F14" s="16">
        <v>2470</v>
      </c>
      <c r="G14" s="20"/>
      <c r="H14" s="12">
        <v>45323</v>
      </c>
    </row>
    <row r="15" spans="1:10" x14ac:dyDescent="0.25">
      <c r="A15" s="10" t="s">
        <v>28</v>
      </c>
      <c r="B15" s="10" t="s">
        <v>10</v>
      </c>
      <c r="C15" s="11"/>
      <c r="D15" s="20">
        <v>260</v>
      </c>
      <c r="E15" s="20">
        <v>350</v>
      </c>
      <c r="F15" s="16">
        <v>623</v>
      </c>
      <c r="G15" s="20"/>
      <c r="H15" s="12">
        <v>45323</v>
      </c>
      <c r="I15" t="s">
        <v>25</v>
      </c>
      <c r="J15" s="23" t="s">
        <v>16</v>
      </c>
    </row>
    <row r="16" spans="1:10" x14ac:dyDescent="0.25">
      <c r="A16" s="10"/>
      <c r="B16" s="10" t="s">
        <v>10</v>
      </c>
      <c r="C16" s="11" t="s">
        <v>12</v>
      </c>
      <c r="D16" s="20">
        <v>3</v>
      </c>
      <c r="E16" s="20">
        <v>12</v>
      </c>
      <c r="F16" s="16">
        <v>2761</v>
      </c>
      <c r="G16" s="20">
        <v>1656.6000000000001</v>
      </c>
      <c r="H16" s="12">
        <v>45352</v>
      </c>
      <c r="I16" t="s">
        <v>25</v>
      </c>
      <c r="J16" s="24" t="s">
        <v>17</v>
      </c>
    </row>
    <row r="17" spans="1:8" x14ac:dyDescent="0.25">
      <c r="A17" s="10" t="s">
        <v>17</v>
      </c>
      <c r="B17" s="10" t="s">
        <v>9</v>
      </c>
      <c r="C17" s="11" t="s">
        <v>12</v>
      </c>
      <c r="D17" s="20">
        <v>3</v>
      </c>
      <c r="E17" s="20">
        <v>12</v>
      </c>
      <c r="F17" s="16">
        <v>1989</v>
      </c>
      <c r="G17" s="20">
        <v>119.34</v>
      </c>
      <c r="H17" s="12">
        <v>45352</v>
      </c>
    </row>
    <row r="18" spans="1:8" x14ac:dyDescent="0.25">
      <c r="A18" s="10" t="s">
        <v>28</v>
      </c>
      <c r="B18" s="10" t="s">
        <v>4</v>
      </c>
      <c r="C18" s="11" t="s">
        <v>13</v>
      </c>
      <c r="D18" s="20">
        <v>10</v>
      </c>
      <c r="E18" s="20">
        <v>20</v>
      </c>
      <c r="F18" s="16">
        <v>1834</v>
      </c>
      <c r="G18" s="20">
        <v>1834</v>
      </c>
      <c r="H18" s="12">
        <v>45352</v>
      </c>
    </row>
    <row r="19" spans="1:8" x14ac:dyDescent="0.25">
      <c r="A19" s="10" t="s">
        <v>15</v>
      </c>
      <c r="B19" s="10" t="s">
        <v>9</v>
      </c>
      <c r="C19" s="11" t="s">
        <v>5</v>
      </c>
      <c r="D19" s="20">
        <v>4.9000000000000004</v>
      </c>
      <c r="E19" s="20">
        <v>7</v>
      </c>
      <c r="F19" s="16">
        <v>2022</v>
      </c>
      <c r="G19" s="20">
        <v>140.91</v>
      </c>
      <c r="H19" s="12">
        <v>45352</v>
      </c>
    </row>
    <row r="20" spans="1:8" x14ac:dyDescent="0.25">
      <c r="A20" s="10" t="s">
        <v>17</v>
      </c>
      <c r="B20" s="10" t="s">
        <v>9</v>
      </c>
      <c r="C20" s="11" t="s">
        <v>5</v>
      </c>
      <c r="D20" s="20">
        <v>5</v>
      </c>
      <c r="E20" s="20">
        <v>7</v>
      </c>
      <c r="F20" s="16">
        <v>15380</v>
      </c>
      <c r="G20" s="20">
        <v>0</v>
      </c>
      <c r="H20" s="12">
        <v>45352</v>
      </c>
    </row>
    <row r="21" spans="1:8" x14ac:dyDescent="0.25">
      <c r="A21" s="10" t="s">
        <v>17</v>
      </c>
      <c r="B21" s="10" t="s">
        <v>9</v>
      </c>
      <c r="C21" s="11" t="s">
        <v>5</v>
      </c>
      <c r="D21" s="20">
        <v>10</v>
      </c>
      <c r="E21" s="20">
        <v>20</v>
      </c>
      <c r="F21" s="16">
        <v>11370</v>
      </c>
      <c r="G21" s="20">
        <v>736</v>
      </c>
      <c r="H21" s="12">
        <v>45352</v>
      </c>
    </row>
    <row r="22" spans="1:8" x14ac:dyDescent="0.25">
      <c r="A22" s="10" t="s">
        <v>28</v>
      </c>
      <c r="B22" s="10" t="s">
        <v>7</v>
      </c>
      <c r="C22" s="11" t="s">
        <v>5</v>
      </c>
      <c r="D22" s="20">
        <v>10</v>
      </c>
      <c r="E22" s="20">
        <v>20</v>
      </c>
      <c r="F22" s="16">
        <v>2805</v>
      </c>
      <c r="G22" s="20">
        <v>2805</v>
      </c>
      <c r="H22" s="12">
        <v>45352</v>
      </c>
    </row>
    <row r="23" spans="1:8" x14ac:dyDescent="0.25">
      <c r="A23" s="10" t="s">
        <v>11</v>
      </c>
      <c r="B23" s="10" t="s">
        <v>6</v>
      </c>
      <c r="C23" s="11" t="s">
        <v>14</v>
      </c>
      <c r="D23" s="20">
        <v>120</v>
      </c>
      <c r="E23" s="20">
        <v>125</v>
      </c>
      <c r="F23" s="16">
        <v>809</v>
      </c>
      <c r="G23" s="20">
        <v>0</v>
      </c>
      <c r="H23" s="12">
        <v>45352</v>
      </c>
    </row>
    <row r="24" spans="1:8" x14ac:dyDescent="0.25">
      <c r="A24" s="10" t="s">
        <v>28</v>
      </c>
      <c r="B24" s="10" t="s">
        <v>7</v>
      </c>
      <c r="C24" s="11" t="s">
        <v>14</v>
      </c>
      <c r="D24" s="20">
        <v>250</v>
      </c>
      <c r="E24" s="20">
        <v>300</v>
      </c>
      <c r="F24" s="16">
        <v>322</v>
      </c>
      <c r="G24" s="20">
        <v>4830</v>
      </c>
      <c r="H24" s="12">
        <v>45352</v>
      </c>
    </row>
    <row r="25" spans="1:8" x14ac:dyDescent="0.25">
      <c r="A25" s="10" t="s">
        <v>28</v>
      </c>
      <c r="B25" s="10" t="s">
        <v>4</v>
      </c>
      <c r="C25" s="11" t="s">
        <v>14</v>
      </c>
      <c r="D25" s="20">
        <v>260</v>
      </c>
      <c r="E25" s="20">
        <v>350</v>
      </c>
      <c r="F25" s="16">
        <v>720</v>
      </c>
      <c r="G25" s="20">
        <v>0</v>
      </c>
      <c r="H25" s="12">
        <v>45352</v>
      </c>
    </row>
    <row r="26" spans="1:8" x14ac:dyDescent="0.25">
      <c r="A26" s="10" t="s">
        <v>28</v>
      </c>
      <c r="B26" s="10" t="s">
        <v>4</v>
      </c>
      <c r="C26" s="11" t="s">
        <v>8</v>
      </c>
      <c r="D26" s="20">
        <v>5</v>
      </c>
      <c r="E26" s="20">
        <v>7</v>
      </c>
      <c r="F26" s="16">
        <v>1760</v>
      </c>
      <c r="G26" s="20">
        <v>616</v>
      </c>
      <c r="H26" s="12">
        <v>45352</v>
      </c>
    </row>
    <row r="27" spans="1:8" x14ac:dyDescent="0.25">
      <c r="A27" s="10" t="s">
        <v>28</v>
      </c>
      <c r="B27" s="10" t="s">
        <v>7</v>
      </c>
      <c r="C27" s="11" t="s">
        <v>8</v>
      </c>
      <c r="D27" s="20">
        <v>5</v>
      </c>
      <c r="E27" s="20">
        <v>7</v>
      </c>
      <c r="F27" s="16">
        <v>1031</v>
      </c>
      <c r="G27" s="20">
        <v>360.85</v>
      </c>
      <c r="H27" s="12">
        <v>45352</v>
      </c>
    </row>
    <row r="28" spans="1:8" x14ac:dyDescent="0.25">
      <c r="A28" s="10" t="s">
        <v>44</v>
      </c>
      <c r="B28" s="10" t="s">
        <v>10</v>
      </c>
      <c r="C28" s="11" t="s">
        <v>8</v>
      </c>
      <c r="D28" s="20">
        <v>10</v>
      </c>
      <c r="E28" s="20">
        <v>15</v>
      </c>
      <c r="F28" s="16">
        <v>1743</v>
      </c>
      <c r="G28" s="20">
        <v>1307.25</v>
      </c>
      <c r="H28" s="12">
        <v>45352</v>
      </c>
    </row>
    <row r="29" spans="1:8" x14ac:dyDescent="0.25">
      <c r="A29" s="10" t="s">
        <v>28</v>
      </c>
      <c r="B29" s="10" t="s">
        <v>4</v>
      </c>
      <c r="C29" s="11" t="s">
        <v>8</v>
      </c>
      <c r="D29" s="20">
        <v>250</v>
      </c>
      <c r="E29" s="20">
        <v>300</v>
      </c>
      <c r="F29" s="16">
        <v>788</v>
      </c>
      <c r="G29" s="20">
        <v>0</v>
      </c>
      <c r="H29" s="12">
        <v>45352</v>
      </c>
    </row>
    <row r="30" spans="1:8" x14ac:dyDescent="0.25">
      <c r="A30" s="10" t="s">
        <v>17</v>
      </c>
      <c r="B30" s="10" t="s">
        <v>6</v>
      </c>
      <c r="C30" s="11" t="s">
        <v>16</v>
      </c>
      <c r="D30" s="20">
        <v>3</v>
      </c>
      <c r="E30" s="20">
        <v>12</v>
      </c>
      <c r="F30" s="16">
        <v>2215</v>
      </c>
      <c r="G30" s="20">
        <v>1329</v>
      </c>
      <c r="H30" s="12">
        <v>45352</v>
      </c>
    </row>
    <row r="31" spans="1:8" x14ac:dyDescent="0.25">
      <c r="A31" s="10" t="s">
        <v>17</v>
      </c>
      <c r="B31" s="10" t="s">
        <v>4</v>
      </c>
      <c r="C31" s="11" t="s">
        <v>16</v>
      </c>
      <c r="D31" s="20">
        <v>3</v>
      </c>
      <c r="E31" s="20">
        <v>12</v>
      </c>
      <c r="F31" s="16">
        <v>1005</v>
      </c>
      <c r="G31" s="20">
        <v>603</v>
      </c>
      <c r="H31" s="12">
        <v>45352</v>
      </c>
    </row>
    <row r="32" spans="1:8" x14ac:dyDescent="0.25">
      <c r="A32" s="10" t="s">
        <v>17</v>
      </c>
      <c r="B32" s="10" t="s">
        <v>7</v>
      </c>
      <c r="C32" s="11" t="s">
        <v>16</v>
      </c>
      <c r="D32" s="20">
        <v>3</v>
      </c>
      <c r="E32" s="20">
        <v>12</v>
      </c>
      <c r="F32" s="16">
        <v>2234</v>
      </c>
      <c r="G32" s="20">
        <v>1340.4</v>
      </c>
      <c r="H32" s="12">
        <v>45352</v>
      </c>
    </row>
    <row r="33" spans="1:8" x14ac:dyDescent="0.25">
      <c r="A33" s="10" t="s">
        <v>28</v>
      </c>
      <c r="B33" s="10" t="s">
        <v>7</v>
      </c>
      <c r="C33" s="11" t="s">
        <v>16</v>
      </c>
      <c r="D33" s="20">
        <v>260</v>
      </c>
      <c r="E33" s="20">
        <v>350</v>
      </c>
      <c r="F33" s="16">
        <v>1527</v>
      </c>
      <c r="G33" s="20">
        <v>0</v>
      </c>
      <c r="H33" s="12">
        <v>45352</v>
      </c>
    </row>
    <row r="34" spans="1:8" x14ac:dyDescent="0.25">
      <c r="A34" s="10" t="s">
        <v>15</v>
      </c>
      <c r="B34" s="10" t="s">
        <v>9</v>
      </c>
      <c r="C34" s="11" t="s">
        <v>13</v>
      </c>
      <c r="D34" s="20">
        <v>5</v>
      </c>
      <c r="E34" s="20">
        <v>7</v>
      </c>
      <c r="F34" s="16">
        <v>263</v>
      </c>
      <c r="G34" s="20">
        <v>55.23</v>
      </c>
      <c r="H34" s="12">
        <v>45383</v>
      </c>
    </row>
    <row r="35" spans="1:8" x14ac:dyDescent="0.25">
      <c r="A35" s="10" t="s">
        <v>28</v>
      </c>
      <c r="B35" s="10" t="s">
        <v>6</v>
      </c>
      <c r="C35" s="11" t="s">
        <v>13</v>
      </c>
      <c r="D35" s="20">
        <v>250</v>
      </c>
      <c r="E35" s="20">
        <v>300</v>
      </c>
      <c r="F35" s="16">
        <v>100</v>
      </c>
      <c r="G35" s="20">
        <v>1500</v>
      </c>
      <c r="H35" s="12">
        <v>45383</v>
      </c>
    </row>
    <row r="36" spans="1:8" x14ac:dyDescent="0.25">
      <c r="A36" s="10" t="s">
        <v>11</v>
      </c>
      <c r="B36" s="10" t="s">
        <v>10</v>
      </c>
      <c r="C36" s="11" t="s">
        <v>5</v>
      </c>
      <c r="D36" s="20">
        <v>120</v>
      </c>
      <c r="E36" s="20">
        <v>125</v>
      </c>
      <c r="F36" s="16">
        <v>345</v>
      </c>
      <c r="G36" s="20">
        <v>0</v>
      </c>
      <c r="H36" s="12">
        <v>45383</v>
      </c>
    </row>
    <row r="37" spans="1:8" x14ac:dyDescent="0.25">
      <c r="A37" s="10" t="s">
        <v>11</v>
      </c>
      <c r="B37" s="10" t="s">
        <v>6</v>
      </c>
      <c r="C37" s="11" t="s">
        <v>5</v>
      </c>
      <c r="D37" s="20">
        <v>120</v>
      </c>
      <c r="E37" s="20">
        <v>125</v>
      </c>
      <c r="F37" s="16">
        <v>809</v>
      </c>
      <c r="G37" s="20">
        <v>0</v>
      </c>
      <c r="H37" s="12">
        <v>45383</v>
      </c>
    </row>
    <row r="38" spans="1:8" x14ac:dyDescent="0.25">
      <c r="A38" s="10" t="s">
        <v>11</v>
      </c>
      <c r="B38" s="10" t="s">
        <v>9</v>
      </c>
      <c r="C38" s="11" t="s">
        <v>5</v>
      </c>
      <c r="D38" s="20">
        <v>120</v>
      </c>
      <c r="E38" s="20">
        <v>125</v>
      </c>
      <c r="F38" s="16">
        <v>663</v>
      </c>
      <c r="G38" s="20">
        <v>4143.75</v>
      </c>
      <c r="H38" s="12">
        <v>45383</v>
      </c>
    </row>
    <row r="39" spans="1:8" x14ac:dyDescent="0.25">
      <c r="A39" s="10" t="s">
        <v>11</v>
      </c>
      <c r="B39" s="10" t="s">
        <v>4</v>
      </c>
      <c r="C39" s="11" t="s">
        <v>5</v>
      </c>
      <c r="D39" s="20">
        <v>120</v>
      </c>
      <c r="E39" s="20">
        <v>125</v>
      </c>
      <c r="F39" s="16">
        <v>2145</v>
      </c>
      <c r="G39" s="20">
        <v>13406.25</v>
      </c>
      <c r="H39" s="12">
        <v>45383</v>
      </c>
    </row>
    <row r="40" spans="1:8" x14ac:dyDescent="0.25">
      <c r="A40" s="10" t="s">
        <v>11</v>
      </c>
      <c r="B40" s="10" t="s">
        <v>7</v>
      </c>
      <c r="C40" s="11" t="s">
        <v>5</v>
      </c>
      <c r="D40" s="20">
        <v>120</v>
      </c>
      <c r="E40" s="20">
        <v>125</v>
      </c>
      <c r="F40" s="16">
        <v>704</v>
      </c>
      <c r="G40" s="20">
        <v>4400</v>
      </c>
      <c r="H40" s="12">
        <v>45383</v>
      </c>
    </row>
    <row r="41" spans="1:8" x14ac:dyDescent="0.25">
      <c r="A41" s="10" t="s">
        <v>28</v>
      </c>
      <c r="B41" s="10" t="s">
        <v>10</v>
      </c>
      <c r="C41" s="11" t="s">
        <v>5</v>
      </c>
      <c r="D41" s="20">
        <v>250</v>
      </c>
      <c r="E41" s="20">
        <v>300</v>
      </c>
      <c r="F41" s="16">
        <v>269</v>
      </c>
      <c r="G41" s="20">
        <v>4035</v>
      </c>
      <c r="H41" s="12">
        <v>45383</v>
      </c>
    </row>
    <row r="42" spans="1:8" x14ac:dyDescent="0.25">
      <c r="A42" s="10" t="s">
        <v>44</v>
      </c>
      <c r="B42" s="10" t="s">
        <v>6</v>
      </c>
      <c r="C42" s="11" t="s">
        <v>14</v>
      </c>
      <c r="D42" s="20">
        <v>10</v>
      </c>
      <c r="E42" s="20">
        <v>15</v>
      </c>
      <c r="F42" s="16">
        <v>1945</v>
      </c>
      <c r="G42" s="20">
        <v>1458.75</v>
      </c>
      <c r="H42" s="12">
        <v>45383</v>
      </c>
    </row>
    <row r="43" spans="1:8" x14ac:dyDescent="0.25">
      <c r="A43" s="10" t="s">
        <v>11</v>
      </c>
      <c r="B43" s="10" t="s">
        <v>9</v>
      </c>
      <c r="C43" s="11" t="s">
        <v>14</v>
      </c>
      <c r="D43" s="20">
        <v>120</v>
      </c>
      <c r="E43" s="20">
        <v>125</v>
      </c>
      <c r="F43" s="16">
        <v>663</v>
      </c>
      <c r="G43" s="20">
        <v>4143.75</v>
      </c>
      <c r="H43" s="12">
        <v>45383</v>
      </c>
    </row>
    <row r="44" spans="1:8" x14ac:dyDescent="0.25">
      <c r="A44" s="10" t="s">
        <v>44</v>
      </c>
      <c r="B44" s="10" t="s">
        <v>4</v>
      </c>
      <c r="C44" s="11" t="s">
        <v>8</v>
      </c>
      <c r="D44" s="20">
        <v>10</v>
      </c>
      <c r="E44" s="20">
        <v>15</v>
      </c>
      <c r="F44" s="16">
        <v>1514</v>
      </c>
      <c r="G44" s="20">
        <v>1135.5</v>
      </c>
      <c r="H44" s="12">
        <v>45383</v>
      </c>
    </row>
    <row r="45" spans="1:8" x14ac:dyDescent="0.25">
      <c r="A45" s="10" t="s">
        <v>44</v>
      </c>
      <c r="B45" s="10" t="s">
        <v>7</v>
      </c>
      <c r="C45" s="11" t="s">
        <v>8</v>
      </c>
      <c r="D45" s="20">
        <v>10</v>
      </c>
      <c r="E45" s="20">
        <v>15</v>
      </c>
      <c r="F45" s="16">
        <v>2167</v>
      </c>
      <c r="G45" s="20">
        <v>1625.25</v>
      </c>
      <c r="H45" s="12">
        <v>45383</v>
      </c>
    </row>
    <row r="46" spans="1:8" x14ac:dyDescent="0.25">
      <c r="A46" s="10" t="s">
        <v>11</v>
      </c>
      <c r="B46" s="10" t="s">
        <v>4</v>
      </c>
      <c r="C46" s="11" t="s">
        <v>8</v>
      </c>
      <c r="D46" s="20">
        <v>120</v>
      </c>
      <c r="E46" s="20">
        <v>125</v>
      </c>
      <c r="F46" s="16">
        <v>2145</v>
      </c>
      <c r="G46" s="20">
        <v>13406.25</v>
      </c>
      <c r="H46" s="12">
        <v>45383</v>
      </c>
    </row>
    <row r="47" spans="1:8" x14ac:dyDescent="0.25">
      <c r="A47" s="10" t="s">
        <v>11</v>
      </c>
      <c r="B47" s="10" t="s">
        <v>7</v>
      </c>
      <c r="C47" s="11" t="s">
        <v>8</v>
      </c>
      <c r="D47" s="20">
        <v>120</v>
      </c>
      <c r="E47" s="20">
        <v>125</v>
      </c>
      <c r="F47" s="16">
        <v>704</v>
      </c>
      <c r="G47" s="20">
        <v>4400</v>
      </c>
      <c r="H47" s="12">
        <v>45383</v>
      </c>
    </row>
    <row r="48" spans="1:8" x14ac:dyDescent="0.25">
      <c r="A48" s="10" t="s">
        <v>17</v>
      </c>
      <c r="B48" s="10" t="s">
        <v>9</v>
      </c>
      <c r="C48" s="11" t="s">
        <v>8</v>
      </c>
      <c r="D48" s="20">
        <v>250</v>
      </c>
      <c r="E48" s="20">
        <v>300</v>
      </c>
      <c r="F48" s="16">
        <v>12294</v>
      </c>
      <c r="G48" s="20">
        <v>34410</v>
      </c>
      <c r="H48" s="12">
        <v>45383</v>
      </c>
    </row>
    <row r="49" spans="1:8" x14ac:dyDescent="0.25">
      <c r="A49" s="10" t="s">
        <v>44</v>
      </c>
      <c r="B49" s="10" t="s">
        <v>6</v>
      </c>
      <c r="C49" s="11" t="s">
        <v>16</v>
      </c>
      <c r="D49" s="20">
        <v>10</v>
      </c>
      <c r="E49" s="20">
        <v>15</v>
      </c>
      <c r="F49" s="16">
        <v>1945</v>
      </c>
      <c r="G49" s="20">
        <v>1458.75</v>
      </c>
      <c r="H49" s="12">
        <v>45383</v>
      </c>
    </row>
    <row r="50" spans="1:8" x14ac:dyDescent="0.25">
      <c r="A50" s="10" t="s">
        <v>44</v>
      </c>
      <c r="B50" s="10" t="s">
        <v>4</v>
      </c>
      <c r="C50" s="11" t="s">
        <v>16</v>
      </c>
      <c r="D50" s="20">
        <v>10</v>
      </c>
      <c r="E50" s="20">
        <v>15</v>
      </c>
      <c r="F50" s="16">
        <v>1514</v>
      </c>
      <c r="G50" s="20">
        <v>1135.5</v>
      </c>
      <c r="H50" s="12">
        <v>45383</v>
      </c>
    </row>
    <row r="51" spans="1:8" x14ac:dyDescent="0.25">
      <c r="A51" s="10" t="s">
        <v>44</v>
      </c>
      <c r="B51" s="10" t="s">
        <v>7</v>
      </c>
      <c r="C51" s="11" t="s">
        <v>16</v>
      </c>
      <c r="D51" s="20">
        <v>10</v>
      </c>
      <c r="E51" s="20">
        <v>15</v>
      </c>
      <c r="F51" s="16">
        <v>2167</v>
      </c>
      <c r="G51" s="20">
        <v>1625.25</v>
      </c>
      <c r="H51" s="12">
        <v>45383</v>
      </c>
    </row>
    <row r="52" spans="1:8" x14ac:dyDescent="0.25">
      <c r="A52" s="10" t="s">
        <v>28</v>
      </c>
      <c r="B52" s="10" t="s">
        <v>10</v>
      </c>
      <c r="C52" s="11" t="s">
        <v>16</v>
      </c>
      <c r="D52" s="20">
        <v>250</v>
      </c>
      <c r="E52" s="20">
        <v>300</v>
      </c>
      <c r="F52" s="16">
        <v>120</v>
      </c>
      <c r="G52" s="20">
        <v>0</v>
      </c>
      <c r="H52" s="12">
        <v>45383</v>
      </c>
    </row>
    <row r="53" spans="1:8" x14ac:dyDescent="0.25">
      <c r="A53" s="10" t="s">
        <v>28</v>
      </c>
      <c r="B53" s="10" t="s">
        <v>6</v>
      </c>
      <c r="C53" s="11" t="s">
        <v>16</v>
      </c>
      <c r="D53" s="20">
        <v>250</v>
      </c>
      <c r="E53" s="20">
        <v>300</v>
      </c>
      <c r="F53" s="16">
        <v>150</v>
      </c>
      <c r="G53" s="20">
        <v>0</v>
      </c>
      <c r="H53" s="12">
        <v>45383</v>
      </c>
    </row>
    <row r="54" spans="1:8" x14ac:dyDescent="0.25">
      <c r="A54" s="10" t="s">
        <v>15</v>
      </c>
      <c r="B54" s="10" t="s">
        <v>10</v>
      </c>
      <c r="C54" s="11" t="s">
        <v>12</v>
      </c>
      <c r="D54" s="20">
        <v>5</v>
      </c>
      <c r="E54" s="20">
        <v>7</v>
      </c>
      <c r="F54" s="16">
        <v>300</v>
      </c>
      <c r="G54" s="20">
        <v>105</v>
      </c>
      <c r="H54" s="12">
        <v>45413</v>
      </c>
    </row>
    <row r="55" spans="1:8" x14ac:dyDescent="0.25">
      <c r="A55" s="10" t="s">
        <v>44</v>
      </c>
      <c r="B55" s="10" t="s">
        <v>9</v>
      </c>
      <c r="C55" s="11" t="s">
        <v>12</v>
      </c>
      <c r="D55" s="20">
        <v>10</v>
      </c>
      <c r="E55" s="20">
        <v>15</v>
      </c>
      <c r="F55" s="16">
        <v>671</v>
      </c>
      <c r="G55" s="20">
        <v>503.25</v>
      </c>
      <c r="H55" s="12">
        <v>45413</v>
      </c>
    </row>
    <row r="56" spans="1:8" x14ac:dyDescent="0.25">
      <c r="A56" s="10" t="s">
        <v>15</v>
      </c>
      <c r="B56" s="10" t="s">
        <v>10</v>
      </c>
      <c r="C56" s="11" t="s">
        <v>12</v>
      </c>
      <c r="D56" s="20">
        <v>260</v>
      </c>
      <c r="E56" s="20">
        <v>350</v>
      </c>
      <c r="F56" s="16">
        <v>1228</v>
      </c>
      <c r="G56" s="20">
        <v>21490</v>
      </c>
      <c r="H56" s="12">
        <v>45413</v>
      </c>
    </row>
    <row r="57" spans="1:8" x14ac:dyDescent="0.25">
      <c r="A57" s="10" t="s">
        <v>28</v>
      </c>
      <c r="B57" s="10" t="s">
        <v>4</v>
      </c>
      <c r="C57" s="11" t="s">
        <v>13</v>
      </c>
      <c r="D57" s="20">
        <v>250</v>
      </c>
      <c r="E57" s="20">
        <v>300</v>
      </c>
      <c r="F57" s="16">
        <v>494</v>
      </c>
      <c r="G57" s="20">
        <v>7410</v>
      </c>
      <c r="H57" s="12">
        <v>45413</v>
      </c>
    </row>
    <row r="58" spans="1:8" x14ac:dyDescent="0.25">
      <c r="A58" s="10" t="s">
        <v>17</v>
      </c>
      <c r="B58" s="10" t="s">
        <v>9</v>
      </c>
      <c r="C58" s="11" t="s">
        <v>5</v>
      </c>
      <c r="D58" s="20">
        <v>250</v>
      </c>
      <c r="E58" s="20">
        <v>300</v>
      </c>
      <c r="F58" s="16">
        <v>2294</v>
      </c>
      <c r="G58" s="20">
        <v>0</v>
      </c>
      <c r="H58" s="12">
        <v>45413</v>
      </c>
    </row>
    <row r="59" spans="1:8" x14ac:dyDescent="0.25">
      <c r="A59" s="10" t="s">
        <v>28</v>
      </c>
      <c r="B59" s="10" t="s">
        <v>7</v>
      </c>
      <c r="C59" s="11" t="s">
        <v>5</v>
      </c>
      <c r="D59" s="20">
        <v>250</v>
      </c>
      <c r="E59" s="20">
        <v>300</v>
      </c>
      <c r="F59" s="16">
        <v>1221</v>
      </c>
      <c r="G59" s="20">
        <v>18315</v>
      </c>
      <c r="H59" s="12">
        <v>45413</v>
      </c>
    </row>
    <row r="60" spans="1:8" x14ac:dyDescent="0.25">
      <c r="A60" s="10" t="s">
        <v>15</v>
      </c>
      <c r="B60" s="10" t="s">
        <v>10</v>
      </c>
      <c r="C60" s="11" t="s">
        <v>14</v>
      </c>
      <c r="D60" s="20">
        <v>5</v>
      </c>
      <c r="E60" s="20">
        <v>7</v>
      </c>
      <c r="F60" s="16">
        <v>900</v>
      </c>
      <c r="G60" s="20">
        <v>315</v>
      </c>
      <c r="H60" s="12">
        <v>45413</v>
      </c>
    </row>
    <row r="61" spans="1:8" x14ac:dyDescent="0.25">
      <c r="A61" s="10" t="s">
        <v>15</v>
      </c>
      <c r="B61" s="10" t="s">
        <v>6</v>
      </c>
      <c r="C61" s="11" t="s">
        <v>14</v>
      </c>
      <c r="D61" s="20">
        <v>10</v>
      </c>
      <c r="E61" s="20">
        <v>20</v>
      </c>
      <c r="F61" s="16">
        <v>992</v>
      </c>
      <c r="G61" s="20">
        <v>992</v>
      </c>
      <c r="H61" s="12">
        <v>45413</v>
      </c>
    </row>
    <row r="62" spans="1:8" x14ac:dyDescent="0.25">
      <c r="A62" s="10" t="s">
        <v>11</v>
      </c>
      <c r="B62" s="10" t="s">
        <v>6</v>
      </c>
      <c r="C62" s="11" t="s">
        <v>14</v>
      </c>
      <c r="D62" s="20">
        <v>120</v>
      </c>
      <c r="E62" s="20">
        <v>125</v>
      </c>
      <c r="F62" s="16">
        <v>809</v>
      </c>
      <c r="G62" s="20">
        <v>0</v>
      </c>
      <c r="H62" s="12">
        <v>45413</v>
      </c>
    </row>
    <row r="63" spans="1:8" x14ac:dyDescent="0.25">
      <c r="A63" s="10" t="s">
        <v>15</v>
      </c>
      <c r="B63" s="10" t="s">
        <v>10</v>
      </c>
      <c r="C63" s="11" t="s">
        <v>8</v>
      </c>
      <c r="D63" s="20">
        <v>10</v>
      </c>
      <c r="E63" s="20">
        <v>20</v>
      </c>
      <c r="F63" s="16">
        <v>1389</v>
      </c>
      <c r="G63" s="20">
        <v>1389</v>
      </c>
      <c r="H63" s="12">
        <v>45413</v>
      </c>
    </row>
    <row r="64" spans="1:8" x14ac:dyDescent="0.25">
      <c r="A64" s="10" t="s">
        <v>15</v>
      </c>
      <c r="B64" s="10" t="s">
        <v>10</v>
      </c>
      <c r="C64" s="11" t="s">
        <v>8</v>
      </c>
      <c r="D64" s="20">
        <v>260</v>
      </c>
      <c r="E64" s="20">
        <v>350</v>
      </c>
      <c r="F64" s="16">
        <v>1228</v>
      </c>
      <c r="G64" s="20">
        <v>21490</v>
      </c>
      <c r="H64" s="12">
        <v>45413</v>
      </c>
    </row>
    <row r="65" spans="1:8" x14ac:dyDescent="0.25">
      <c r="A65" s="10" t="s">
        <v>15</v>
      </c>
      <c r="B65" s="10" t="s">
        <v>10</v>
      </c>
      <c r="C65" s="11" t="s">
        <v>16</v>
      </c>
      <c r="D65" s="20">
        <v>10</v>
      </c>
      <c r="E65" s="20">
        <v>20</v>
      </c>
      <c r="F65" s="16">
        <v>1389</v>
      </c>
      <c r="G65" s="20">
        <v>1389</v>
      </c>
      <c r="H65" s="12">
        <v>45413</v>
      </c>
    </row>
    <row r="66" spans="1:8" x14ac:dyDescent="0.25">
      <c r="A66" s="10" t="s">
        <v>28</v>
      </c>
      <c r="B66" s="10" t="s">
        <v>4</v>
      </c>
      <c r="C66" s="11" t="s">
        <v>16</v>
      </c>
      <c r="D66" s="20">
        <v>250</v>
      </c>
      <c r="E66" s="20">
        <v>300</v>
      </c>
      <c r="F66" s="16">
        <v>494</v>
      </c>
      <c r="G66" s="20">
        <v>7410</v>
      </c>
      <c r="H66" s="12">
        <v>45413</v>
      </c>
    </row>
    <row r="67" spans="1:8" x14ac:dyDescent="0.25">
      <c r="A67" s="10" t="s">
        <v>28</v>
      </c>
      <c r="B67" s="10" t="s">
        <v>7</v>
      </c>
      <c r="C67" s="11" t="s">
        <v>16</v>
      </c>
      <c r="D67" s="20">
        <v>250</v>
      </c>
      <c r="E67" s="20">
        <v>300</v>
      </c>
      <c r="F67" s="16">
        <v>1221</v>
      </c>
      <c r="G67" s="20">
        <v>18315</v>
      </c>
      <c r="H67" s="12">
        <v>45413</v>
      </c>
    </row>
    <row r="68" spans="1:8" x14ac:dyDescent="0.25">
      <c r="A68" s="10" t="s">
        <v>15</v>
      </c>
      <c r="B68" s="10" t="s">
        <v>6</v>
      </c>
      <c r="C68" s="11" t="s">
        <v>12</v>
      </c>
      <c r="D68" s="20">
        <v>5</v>
      </c>
      <c r="E68" s="20">
        <v>7</v>
      </c>
      <c r="F68" s="16">
        <v>1159</v>
      </c>
      <c r="G68" s="20">
        <v>405.65000000000003</v>
      </c>
      <c r="H68" s="12">
        <v>45444</v>
      </c>
    </row>
    <row r="69" spans="1:8" x14ac:dyDescent="0.25">
      <c r="A69" s="10" t="s">
        <v>28</v>
      </c>
      <c r="B69" s="10" t="s">
        <v>4</v>
      </c>
      <c r="C69" s="11" t="s">
        <v>12</v>
      </c>
      <c r="D69" s="20">
        <v>5</v>
      </c>
      <c r="E69" s="20">
        <v>7</v>
      </c>
      <c r="F69" s="16">
        <v>1727</v>
      </c>
      <c r="G69" s="20">
        <v>604.45000000000005</v>
      </c>
      <c r="H69" s="12">
        <v>45444</v>
      </c>
    </row>
    <row r="70" spans="1:8" x14ac:dyDescent="0.25">
      <c r="A70" s="10" t="s">
        <v>17</v>
      </c>
      <c r="B70" s="10" t="s">
        <v>7</v>
      </c>
      <c r="C70" s="11" t="s">
        <v>12</v>
      </c>
      <c r="D70" s="20">
        <v>5</v>
      </c>
      <c r="E70" s="20">
        <v>7</v>
      </c>
      <c r="F70" s="16">
        <v>1403</v>
      </c>
      <c r="G70" s="20">
        <v>491.05</v>
      </c>
      <c r="H70" s="12">
        <v>45444</v>
      </c>
    </row>
    <row r="71" spans="1:8" x14ac:dyDescent="0.25">
      <c r="A71" s="10" t="s">
        <v>44</v>
      </c>
      <c r="B71" s="10" t="s">
        <v>10</v>
      </c>
      <c r="C71" s="11" t="s">
        <v>12</v>
      </c>
      <c r="D71" s="20">
        <v>10</v>
      </c>
      <c r="E71" s="20">
        <v>15</v>
      </c>
      <c r="F71" s="16">
        <v>1560</v>
      </c>
      <c r="G71" s="20">
        <v>1170</v>
      </c>
      <c r="H71" s="12">
        <v>45444</v>
      </c>
    </row>
    <row r="72" spans="1:8" x14ac:dyDescent="0.25">
      <c r="A72" s="10" t="s">
        <v>44</v>
      </c>
      <c r="B72" s="10" t="s">
        <v>6</v>
      </c>
      <c r="C72" s="11" t="s">
        <v>12</v>
      </c>
      <c r="D72" s="20">
        <v>10</v>
      </c>
      <c r="E72" s="20">
        <v>15</v>
      </c>
      <c r="F72" s="16">
        <v>970</v>
      </c>
      <c r="G72" s="20">
        <v>727.5</v>
      </c>
      <c r="H72" s="12">
        <v>45444</v>
      </c>
    </row>
    <row r="73" spans="1:8" x14ac:dyDescent="0.25">
      <c r="A73" s="10" t="s">
        <v>44</v>
      </c>
      <c r="B73" s="10" t="s">
        <v>9</v>
      </c>
      <c r="C73" s="11" t="s">
        <v>12</v>
      </c>
      <c r="D73" s="20">
        <v>10</v>
      </c>
      <c r="E73" s="20">
        <v>15</v>
      </c>
      <c r="F73" s="16">
        <v>2548</v>
      </c>
      <c r="G73" s="20">
        <v>1911</v>
      </c>
      <c r="H73" s="12">
        <v>45444</v>
      </c>
    </row>
    <row r="74" spans="1:8" x14ac:dyDescent="0.25">
      <c r="A74" s="10" t="s">
        <v>44</v>
      </c>
      <c r="B74" s="10" t="s">
        <v>4</v>
      </c>
      <c r="C74" s="11" t="s">
        <v>12</v>
      </c>
      <c r="D74" s="20">
        <v>10</v>
      </c>
      <c r="E74" s="20">
        <v>15</v>
      </c>
      <c r="F74" s="16">
        <v>1870</v>
      </c>
      <c r="G74" s="20">
        <v>1402.5</v>
      </c>
      <c r="H74" s="12">
        <v>45444</v>
      </c>
    </row>
    <row r="75" spans="1:8" x14ac:dyDescent="0.25">
      <c r="A75" s="10" t="s">
        <v>44</v>
      </c>
      <c r="B75" s="10" t="s">
        <v>7</v>
      </c>
      <c r="C75" s="11" t="s">
        <v>12</v>
      </c>
      <c r="D75" s="20">
        <v>10</v>
      </c>
      <c r="E75" s="20">
        <v>15</v>
      </c>
      <c r="F75" s="16">
        <v>321</v>
      </c>
      <c r="G75" s="20">
        <v>24.074999999999999</v>
      </c>
      <c r="H75" s="12">
        <v>45444</v>
      </c>
    </row>
    <row r="76" spans="1:8" x14ac:dyDescent="0.25">
      <c r="A76" s="10" t="s">
        <v>15</v>
      </c>
      <c r="B76" s="10" t="s">
        <v>6</v>
      </c>
      <c r="C76" s="11" t="s">
        <v>12</v>
      </c>
      <c r="D76" s="20">
        <v>260</v>
      </c>
      <c r="E76" s="20">
        <v>350</v>
      </c>
      <c r="F76" s="16">
        <v>966</v>
      </c>
      <c r="G76" s="20">
        <v>16905</v>
      </c>
      <c r="H76" s="12">
        <v>45444</v>
      </c>
    </row>
    <row r="77" spans="1:8" x14ac:dyDescent="0.25">
      <c r="A77" s="10" t="s">
        <v>15</v>
      </c>
      <c r="B77" s="10" t="s">
        <v>9</v>
      </c>
      <c r="C77" s="11" t="s">
        <v>12</v>
      </c>
      <c r="D77" s="20">
        <v>260</v>
      </c>
      <c r="E77" s="20">
        <v>350</v>
      </c>
      <c r="F77" s="16">
        <v>727</v>
      </c>
      <c r="G77" s="20">
        <v>12722.5</v>
      </c>
      <c r="H77" s="12">
        <v>45444</v>
      </c>
    </row>
    <row r="78" spans="1:8" x14ac:dyDescent="0.25">
      <c r="A78" s="10" t="s">
        <v>15</v>
      </c>
      <c r="B78" s="10" t="s">
        <v>4</v>
      </c>
      <c r="C78" s="11" t="s">
        <v>12</v>
      </c>
      <c r="D78" s="20">
        <v>260</v>
      </c>
      <c r="E78" s="20">
        <v>350</v>
      </c>
      <c r="F78" s="16">
        <v>344</v>
      </c>
      <c r="G78" s="20">
        <v>6020</v>
      </c>
      <c r="H78" s="12">
        <v>45444</v>
      </c>
    </row>
    <row r="79" spans="1:8" x14ac:dyDescent="0.25">
      <c r="A79" s="10" t="s">
        <v>15</v>
      </c>
      <c r="B79" s="10" t="s">
        <v>7</v>
      </c>
      <c r="C79" s="11" t="s">
        <v>12</v>
      </c>
      <c r="D79" s="20">
        <v>260</v>
      </c>
      <c r="E79" s="20">
        <v>350</v>
      </c>
      <c r="F79" s="16">
        <v>2076</v>
      </c>
      <c r="G79" s="20">
        <v>36330</v>
      </c>
      <c r="H79" s="12">
        <v>45444</v>
      </c>
    </row>
    <row r="80" spans="1:8" x14ac:dyDescent="0.25">
      <c r="A80" s="10" t="s">
        <v>17</v>
      </c>
      <c r="B80" s="10" t="s">
        <v>10</v>
      </c>
      <c r="C80" s="11" t="s">
        <v>13</v>
      </c>
      <c r="D80" s="20">
        <v>3</v>
      </c>
      <c r="E80" s="20">
        <v>12</v>
      </c>
      <c r="F80" s="16">
        <v>2299</v>
      </c>
      <c r="G80" s="20">
        <v>1379.4</v>
      </c>
      <c r="H80" s="12">
        <v>45444</v>
      </c>
    </row>
    <row r="81" spans="1:8" x14ac:dyDescent="0.25">
      <c r="A81" s="10" t="s">
        <v>17</v>
      </c>
      <c r="B81" s="10" t="s">
        <v>6</v>
      </c>
      <c r="C81" s="11" t="s">
        <v>13</v>
      </c>
      <c r="D81" s="20">
        <v>3</v>
      </c>
      <c r="E81" s="20">
        <v>12</v>
      </c>
      <c r="F81" s="16">
        <v>766</v>
      </c>
      <c r="G81" s="20">
        <v>45.96</v>
      </c>
      <c r="H81" s="12">
        <v>45444</v>
      </c>
    </row>
    <row r="82" spans="1:8" x14ac:dyDescent="0.25">
      <c r="A82" s="10" t="s">
        <v>17</v>
      </c>
      <c r="B82" s="10" t="s">
        <v>9</v>
      </c>
      <c r="C82" s="11" t="s">
        <v>13</v>
      </c>
      <c r="D82" s="20">
        <v>3</v>
      </c>
      <c r="E82" s="20">
        <v>12</v>
      </c>
      <c r="F82" s="16">
        <v>386</v>
      </c>
      <c r="G82" s="20">
        <v>231.60000000000002</v>
      </c>
      <c r="H82" s="12">
        <v>45444</v>
      </c>
    </row>
    <row r="83" spans="1:8" x14ac:dyDescent="0.25">
      <c r="A83" s="10" t="s">
        <v>17</v>
      </c>
      <c r="B83" s="10" t="s">
        <v>4</v>
      </c>
      <c r="C83" s="11" t="s">
        <v>13</v>
      </c>
      <c r="D83" s="20">
        <v>3</v>
      </c>
      <c r="E83" s="20">
        <v>12</v>
      </c>
      <c r="F83" s="16">
        <v>367</v>
      </c>
      <c r="G83" s="20">
        <v>220.20000000000002</v>
      </c>
      <c r="H83" s="12">
        <v>45444</v>
      </c>
    </row>
    <row r="84" spans="1:8" x14ac:dyDescent="0.25">
      <c r="A84" s="10" t="s">
        <v>17</v>
      </c>
      <c r="B84" s="10" t="s">
        <v>7</v>
      </c>
      <c r="C84" s="11" t="s">
        <v>13</v>
      </c>
      <c r="D84" s="20">
        <v>3</v>
      </c>
      <c r="E84" s="20">
        <v>12</v>
      </c>
      <c r="F84" s="16">
        <v>1198</v>
      </c>
      <c r="G84" s="20">
        <v>718.80000000000007</v>
      </c>
      <c r="H84" s="12">
        <v>45444</v>
      </c>
    </row>
    <row r="85" spans="1:8" x14ac:dyDescent="0.25">
      <c r="A85" s="10" t="s">
        <v>15</v>
      </c>
      <c r="B85" s="10" t="s">
        <v>9</v>
      </c>
      <c r="C85" s="11" t="s">
        <v>13</v>
      </c>
      <c r="D85" s="20">
        <v>5</v>
      </c>
      <c r="E85" s="20">
        <v>7</v>
      </c>
      <c r="F85" s="16">
        <v>996</v>
      </c>
      <c r="G85" s="20">
        <v>0</v>
      </c>
      <c r="H85" s="12">
        <v>45444</v>
      </c>
    </row>
    <row r="86" spans="1:8" x14ac:dyDescent="0.25">
      <c r="A86" s="10" t="s">
        <v>17</v>
      </c>
      <c r="B86" s="10" t="s">
        <v>9</v>
      </c>
      <c r="C86" s="11" t="s">
        <v>5</v>
      </c>
      <c r="D86" s="20">
        <v>3</v>
      </c>
      <c r="E86" s="20">
        <v>12</v>
      </c>
      <c r="F86" s="16">
        <v>386</v>
      </c>
      <c r="G86" s="20">
        <v>231.60000000000002</v>
      </c>
      <c r="H86" s="12">
        <v>45444</v>
      </c>
    </row>
    <row r="87" spans="1:8" x14ac:dyDescent="0.25">
      <c r="A87" s="10" t="s">
        <v>15</v>
      </c>
      <c r="B87" s="10" t="s">
        <v>9</v>
      </c>
      <c r="C87" s="11" t="s">
        <v>5</v>
      </c>
      <c r="D87" s="20">
        <v>10</v>
      </c>
      <c r="E87" s="20">
        <v>20</v>
      </c>
      <c r="F87" s="16">
        <v>250</v>
      </c>
      <c r="G87" s="20">
        <v>0</v>
      </c>
      <c r="H87" s="12">
        <v>45444</v>
      </c>
    </row>
    <row r="88" spans="1:8" x14ac:dyDescent="0.25">
      <c r="A88" s="10" t="s">
        <v>28</v>
      </c>
      <c r="B88" s="10" t="s">
        <v>10</v>
      </c>
      <c r="C88" s="11" t="s">
        <v>5</v>
      </c>
      <c r="D88" s="20">
        <v>250</v>
      </c>
      <c r="E88" s="20">
        <v>300</v>
      </c>
      <c r="F88" s="16">
        <v>2536</v>
      </c>
      <c r="G88" s="20">
        <v>38040</v>
      </c>
      <c r="H88" s="12">
        <v>45444</v>
      </c>
    </row>
    <row r="89" spans="1:8" x14ac:dyDescent="0.25">
      <c r="A89" s="10" t="s">
        <v>15</v>
      </c>
      <c r="B89" s="10" t="s">
        <v>6</v>
      </c>
      <c r="C89" s="11" t="s">
        <v>5</v>
      </c>
      <c r="D89" s="20">
        <v>260</v>
      </c>
      <c r="E89" s="20">
        <v>350</v>
      </c>
      <c r="F89" s="16">
        <v>547</v>
      </c>
      <c r="G89" s="20">
        <v>9572.5</v>
      </c>
      <c r="H89" s="12">
        <v>45444</v>
      </c>
    </row>
    <row r="90" spans="1:8" x14ac:dyDescent="0.25">
      <c r="A90" s="10" t="s">
        <v>15</v>
      </c>
      <c r="B90" s="10" t="s">
        <v>9</v>
      </c>
      <c r="C90" s="11" t="s">
        <v>5</v>
      </c>
      <c r="D90" s="20">
        <v>260</v>
      </c>
      <c r="E90" s="20">
        <v>350</v>
      </c>
      <c r="F90" s="16">
        <v>727</v>
      </c>
      <c r="G90" s="20">
        <v>12722.5</v>
      </c>
      <c r="H90" s="12">
        <v>45444</v>
      </c>
    </row>
    <row r="91" spans="1:8" x14ac:dyDescent="0.25">
      <c r="A91" s="10" t="s">
        <v>15</v>
      </c>
      <c r="B91" s="10" t="s">
        <v>4</v>
      </c>
      <c r="C91" s="11" t="s">
        <v>5</v>
      </c>
      <c r="D91" s="20">
        <v>260</v>
      </c>
      <c r="E91" s="20">
        <v>350</v>
      </c>
      <c r="F91" s="16">
        <v>344</v>
      </c>
      <c r="G91" s="20">
        <v>6020</v>
      </c>
      <c r="H91" s="12">
        <v>45444</v>
      </c>
    </row>
    <row r="92" spans="1:8" x14ac:dyDescent="0.25">
      <c r="A92" s="10" t="s">
        <v>15</v>
      </c>
      <c r="B92" s="10" t="s">
        <v>7</v>
      </c>
      <c r="C92" s="11" t="s">
        <v>5</v>
      </c>
      <c r="D92" s="20">
        <v>260</v>
      </c>
      <c r="E92" s="20">
        <v>350</v>
      </c>
      <c r="F92" s="16">
        <v>2076</v>
      </c>
      <c r="G92" s="20">
        <v>36330</v>
      </c>
      <c r="H92" s="12">
        <v>45444</v>
      </c>
    </row>
    <row r="93" spans="1:8" x14ac:dyDescent="0.25">
      <c r="A93" s="10" t="s">
        <v>17</v>
      </c>
      <c r="B93" s="10" t="s">
        <v>6</v>
      </c>
      <c r="C93" s="11" t="s">
        <v>14</v>
      </c>
      <c r="D93" s="20">
        <v>3</v>
      </c>
      <c r="E93" s="20">
        <v>12</v>
      </c>
      <c r="F93" s="16">
        <v>766</v>
      </c>
      <c r="G93" s="20">
        <v>45.96</v>
      </c>
      <c r="H93" s="12">
        <v>45444</v>
      </c>
    </row>
    <row r="94" spans="1:8" x14ac:dyDescent="0.25">
      <c r="A94" s="10" t="s">
        <v>15</v>
      </c>
      <c r="B94" s="10" t="s">
        <v>6</v>
      </c>
      <c r="C94" s="11" t="s">
        <v>14</v>
      </c>
      <c r="D94" s="20">
        <v>5</v>
      </c>
      <c r="E94" s="20">
        <v>7</v>
      </c>
      <c r="F94" s="16">
        <v>1159</v>
      </c>
      <c r="G94" s="20">
        <v>405.65000000000003</v>
      </c>
      <c r="H94" s="12">
        <v>45444</v>
      </c>
    </row>
    <row r="95" spans="1:8" x14ac:dyDescent="0.25">
      <c r="A95" s="10" t="s">
        <v>15</v>
      </c>
      <c r="B95" s="10" t="s">
        <v>9</v>
      </c>
      <c r="C95" s="11" t="s">
        <v>14</v>
      </c>
      <c r="D95" s="20">
        <v>5</v>
      </c>
      <c r="E95" s="20">
        <v>7</v>
      </c>
      <c r="F95" s="16">
        <v>600</v>
      </c>
      <c r="G95" s="20">
        <v>210</v>
      </c>
      <c r="H95" s="12">
        <v>45444</v>
      </c>
    </row>
    <row r="96" spans="1:8" x14ac:dyDescent="0.25">
      <c r="A96" s="10" t="s">
        <v>28</v>
      </c>
      <c r="B96" s="10" t="s">
        <v>4</v>
      </c>
      <c r="C96" s="11" t="s">
        <v>14</v>
      </c>
      <c r="D96" s="20">
        <v>5</v>
      </c>
      <c r="E96" s="20">
        <v>7</v>
      </c>
      <c r="F96" s="16">
        <v>1727</v>
      </c>
      <c r="G96" s="20">
        <v>604.45000000000005</v>
      </c>
      <c r="H96" s="12">
        <v>45444</v>
      </c>
    </row>
    <row r="97" spans="1:8" x14ac:dyDescent="0.25">
      <c r="A97" s="10" t="s">
        <v>17</v>
      </c>
      <c r="B97" s="10" t="s">
        <v>7</v>
      </c>
      <c r="C97" s="11" t="s">
        <v>14</v>
      </c>
      <c r="D97" s="20">
        <v>5</v>
      </c>
      <c r="E97" s="20">
        <v>7</v>
      </c>
      <c r="F97" s="16">
        <v>1403</v>
      </c>
      <c r="G97" s="20">
        <v>491.05</v>
      </c>
      <c r="H97" s="12">
        <v>45444</v>
      </c>
    </row>
    <row r="98" spans="1:8" x14ac:dyDescent="0.25">
      <c r="A98" s="10" t="s">
        <v>15</v>
      </c>
      <c r="B98" s="10" t="s">
        <v>6</v>
      </c>
      <c r="C98" s="11" t="s">
        <v>14</v>
      </c>
      <c r="D98" s="20">
        <v>10</v>
      </c>
      <c r="E98" s="20">
        <v>20</v>
      </c>
      <c r="F98" s="16">
        <v>500</v>
      </c>
      <c r="G98" s="20">
        <v>500</v>
      </c>
      <c r="H98" s="12">
        <v>45444</v>
      </c>
    </row>
    <row r="99" spans="1:8" x14ac:dyDescent="0.25">
      <c r="A99" s="10" t="s">
        <v>28</v>
      </c>
      <c r="B99" s="10" t="s">
        <v>4</v>
      </c>
      <c r="C99" s="11" t="s">
        <v>14</v>
      </c>
      <c r="D99" s="20">
        <v>10</v>
      </c>
      <c r="E99" s="20">
        <v>20</v>
      </c>
      <c r="F99" s="16">
        <v>1715</v>
      </c>
      <c r="G99" s="20">
        <v>1715</v>
      </c>
      <c r="H99" s="12">
        <v>45444</v>
      </c>
    </row>
    <row r="100" spans="1:8" x14ac:dyDescent="0.25">
      <c r="A100" s="10" t="s">
        <v>15</v>
      </c>
      <c r="B100" s="10" t="s">
        <v>7</v>
      </c>
      <c r="C100" s="11" t="s">
        <v>14</v>
      </c>
      <c r="D100" s="20">
        <v>10</v>
      </c>
      <c r="E100" s="20">
        <v>20</v>
      </c>
      <c r="F100" s="16">
        <v>1757</v>
      </c>
      <c r="G100" s="20">
        <v>1757</v>
      </c>
      <c r="H100" s="12">
        <v>45444</v>
      </c>
    </row>
    <row r="101" spans="1:8" x14ac:dyDescent="0.25">
      <c r="A101" s="10" t="s">
        <v>11</v>
      </c>
      <c r="B101" s="10" t="s">
        <v>9</v>
      </c>
      <c r="C101" s="11" t="s">
        <v>14</v>
      </c>
      <c r="D101" s="20">
        <v>120</v>
      </c>
      <c r="E101" s="20">
        <v>125</v>
      </c>
      <c r="F101" s="16">
        <v>1804</v>
      </c>
      <c r="G101" s="20">
        <v>11275</v>
      </c>
      <c r="H101" s="12">
        <v>45444</v>
      </c>
    </row>
    <row r="102" spans="1:8" x14ac:dyDescent="0.25">
      <c r="A102" s="10" t="s">
        <v>11</v>
      </c>
      <c r="B102" s="10" t="s">
        <v>4</v>
      </c>
      <c r="C102" s="11" t="s">
        <v>14</v>
      </c>
      <c r="D102" s="20">
        <v>120</v>
      </c>
      <c r="E102" s="20">
        <v>125</v>
      </c>
      <c r="F102" s="16">
        <v>1660</v>
      </c>
      <c r="G102" s="20">
        <v>10375</v>
      </c>
      <c r="H102" s="12">
        <v>45444</v>
      </c>
    </row>
    <row r="103" spans="1:8" x14ac:dyDescent="0.25">
      <c r="A103" s="10" t="s">
        <v>11</v>
      </c>
      <c r="B103" s="10" t="s">
        <v>4</v>
      </c>
      <c r="C103" s="11" t="s">
        <v>14</v>
      </c>
      <c r="D103" s="20">
        <v>120</v>
      </c>
      <c r="E103" s="20">
        <v>125</v>
      </c>
      <c r="F103" s="16">
        <v>1857</v>
      </c>
      <c r="G103" s="20">
        <v>11606.25</v>
      </c>
      <c r="H103" s="12">
        <v>45444</v>
      </c>
    </row>
    <row r="104" spans="1:8" x14ac:dyDescent="0.25">
      <c r="A104" s="10" t="s">
        <v>17</v>
      </c>
      <c r="B104" s="10" t="s">
        <v>10</v>
      </c>
      <c r="C104" s="11" t="s">
        <v>8</v>
      </c>
      <c r="D104" s="20">
        <v>3</v>
      </c>
      <c r="E104" s="20">
        <v>12</v>
      </c>
      <c r="F104" s="16">
        <v>2299</v>
      </c>
      <c r="G104" s="20">
        <v>1379.4</v>
      </c>
      <c r="H104" s="12">
        <v>45444</v>
      </c>
    </row>
    <row r="105" spans="1:8" x14ac:dyDescent="0.25">
      <c r="A105" s="10" t="s">
        <v>17</v>
      </c>
      <c r="B105" s="10" t="s">
        <v>4</v>
      </c>
      <c r="C105" s="11" t="s">
        <v>8</v>
      </c>
      <c r="D105" s="20">
        <v>3</v>
      </c>
      <c r="E105" s="20">
        <v>12</v>
      </c>
      <c r="F105" s="16">
        <v>367</v>
      </c>
      <c r="G105" s="20">
        <v>220.20000000000002</v>
      </c>
      <c r="H105" s="12">
        <v>45444</v>
      </c>
    </row>
    <row r="106" spans="1:8" x14ac:dyDescent="0.25">
      <c r="A106" s="10" t="s">
        <v>17</v>
      </c>
      <c r="B106" s="10" t="s">
        <v>7</v>
      </c>
      <c r="C106" s="11" t="s">
        <v>8</v>
      </c>
      <c r="D106" s="20">
        <v>3</v>
      </c>
      <c r="E106" s="20">
        <v>12</v>
      </c>
      <c r="F106" s="16">
        <v>1198</v>
      </c>
      <c r="G106" s="20">
        <v>718.80000000000007</v>
      </c>
      <c r="H106" s="12">
        <v>45444</v>
      </c>
    </row>
    <row r="107" spans="1:8" x14ac:dyDescent="0.25">
      <c r="A107" s="10" t="s">
        <v>15</v>
      </c>
      <c r="B107" s="10" t="s">
        <v>9</v>
      </c>
      <c r="C107" s="11" t="s">
        <v>8</v>
      </c>
      <c r="D107" s="20">
        <v>10</v>
      </c>
      <c r="E107" s="20">
        <v>20</v>
      </c>
      <c r="F107" s="16">
        <v>267</v>
      </c>
      <c r="G107" s="20">
        <v>267</v>
      </c>
      <c r="H107" s="12">
        <v>45444</v>
      </c>
    </row>
    <row r="108" spans="1:8" x14ac:dyDescent="0.25">
      <c r="A108" s="10" t="s">
        <v>28</v>
      </c>
      <c r="B108" s="10" t="s">
        <v>4</v>
      </c>
      <c r="C108" s="11" t="s">
        <v>8</v>
      </c>
      <c r="D108" s="20">
        <v>10</v>
      </c>
      <c r="E108" s="20">
        <v>20</v>
      </c>
      <c r="F108" s="16">
        <v>1715</v>
      </c>
      <c r="G108" s="20">
        <v>1715</v>
      </c>
      <c r="H108" s="12">
        <v>45444</v>
      </c>
    </row>
    <row r="109" spans="1:8" x14ac:dyDescent="0.25">
      <c r="A109" s="10" t="s">
        <v>17</v>
      </c>
      <c r="B109" s="10" t="s">
        <v>7</v>
      </c>
      <c r="C109" s="11" t="s">
        <v>8</v>
      </c>
      <c r="D109" s="20">
        <v>10</v>
      </c>
      <c r="E109" s="20">
        <v>20</v>
      </c>
      <c r="F109" s="16">
        <v>120</v>
      </c>
      <c r="G109" s="20">
        <v>120</v>
      </c>
      <c r="H109" s="12">
        <v>45444</v>
      </c>
    </row>
    <row r="110" spans="1:8" x14ac:dyDescent="0.25">
      <c r="A110" s="10" t="s">
        <v>28</v>
      </c>
      <c r="B110" s="10" t="s">
        <v>10</v>
      </c>
      <c r="C110" s="11" t="s">
        <v>8</v>
      </c>
      <c r="D110" s="20">
        <v>250</v>
      </c>
      <c r="E110" s="20">
        <v>300</v>
      </c>
      <c r="F110" s="16">
        <v>1404</v>
      </c>
      <c r="G110" s="20">
        <v>21060</v>
      </c>
      <c r="H110" s="12">
        <v>45444</v>
      </c>
    </row>
    <row r="111" spans="1:8" x14ac:dyDescent="0.25">
      <c r="A111" s="10" t="s">
        <v>11</v>
      </c>
      <c r="B111" s="10" t="s">
        <v>10</v>
      </c>
      <c r="C111" s="11" t="s">
        <v>16</v>
      </c>
      <c r="D111" s="20">
        <v>120</v>
      </c>
      <c r="E111" s="20">
        <v>125</v>
      </c>
      <c r="F111" s="16">
        <v>2954</v>
      </c>
      <c r="G111" s="20">
        <v>18462.5</v>
      </c>
      <c r="H111" s="12">
        <v>45444</v>
      </c>
    </row>
    <row r="112" spans="1:8" x14ac:dyDescent="0.25">
      <c r="A112" s="10" t="s">
        <v>11</v>
      </c>
      <c r="B112" s="10" t="s">
        <v>10</v>
      </c>
      <c r="C112" s="11" t="s">
        <v>12</v>
      </c>
      <c r="D112" s="20">
        <v>120</v>
      </c>
      <c r="E112" s="20">
        <v>125</v>
      </c>
      <c r="F112" s="16">
        <v>2416</v>
      </c>
      <c r="G112" s="20">
        <v>15100</v>
      </c>
      <c r="H112" s="12">
        <v>45474</v>
      </c>
    </row>
    <row r="113" spans="1:8" x14ac:dyDescent="0.25">
      <c r="A113" s="10" t="s">
        <v>15</v>
      </c>
      <c r="B113" s="10" t="s">
        <v>6</v>
      </c>
      <c r="C113" s="11" t="s">
        <v>13</v>
      </c>
      <c r="D113" s="20">
        <v>5</v>
      </c>
      <c r="E113" s="20">
        <v>7</v>
      </c>
      <c r="F113" s="16">
        <v>1016</v>
      </c>
      <c r="G113" s="20">
        <v>355.6</v>
      </c>
      <c r="H113" s="12">
        <v>45474</v>
      </c>
    </row>
    <row r="114" spans="1:8" x14ac:dyDescent="0.25">
      <c r="A114" s="10" t="s">
        <v>15</v>
      </c>
      <c r="B114" s="10" t="s">
        <v>4</v>
      </c>
      <c r="C114" s="11" t="s">
        <v>13</v>
      </c>
      <c r="D114" s="20">
        <v>5</v>
      </c>
      <c r="E114" s="20">
        <v>7</v>
      </c>
      <c r="F114" s="16">
        <v>700</v>
      </c>
      <c r="G114" s="20">
        <v>245</v>
      </c>
      <c r="H114" s="12">
        <v>45474</v>
      </c>
    </row>
    <row r="115" spans="1:8" x14ac:dyDescent="0.25">
      <c r="A115" s="10" t="s">
        <v>15</v>
      </c>
      <c r="B115" s="10" t="s">
        <v>10</v>
      </c>
      <c r="C115" s="11" t="s">
        <v>5</v>
      </c>
      <c r="D115" s="20">
        <v>5</v>
      </c>
      <c r="E115" s="20">
        <v>7</v>
      </c>
      <c r="F115" s="16">
        <v>2092</v>
      </c>
      <c r="G115" s="20">
        <v>73.22</v>
      </c>
      <c r="H115" s="12">
        <v>45474</v>
      </c>
    </row>
    <row r="116" spans="1:8" x14ac:dyDescent="0.25">
      <c r="A116" s="10" t="s">
        <v>44</v>
      </c>
      <c r="B116" s="10" t="s">
        <v>9</v>
      </c>
      <c r="C116" s="11" t="s">
        <v>5</v>
      </c>
      <c r="D116" s="20">
        <v>10</v>
      </c>
      <c r="E116" s="20">
        <v>15</v>
      </c>
      <c r="F116" s="16">
        <v>671</v>
      </c>
      <c r="G116" s="20">
        <v>503.25</v>
      </c>
      <c r="H116" s="12">
        <v>45474</v>
      </c>
    </row>
    <row r="117" spans="1:8" x14ac:dyDescent="0.25">
      <c r="A117" s="10" t="s">
        <v>28</v>
      </c>
      <c r="B117" s="10" t="s">
        <v>9</v>
      </c>
      <c r="C117" s="11" t="s">
        <v>5</v>
      </c>
      <c r="D117" s="20">
        <v>250</v>
      </c>
      <c r="E117" s="20">
        <v>300</v>
      </c>
      <c r="F117" s="16">
        <v>2574</v>
      </c>
      <c r="G117" s="20">
        <v>38610</v>
      </c>
      <c r="H117" s="12">
        <v>45474</v>
      </c>
    </row>
    <row r="118" spans="1:8" x14ac:dyDescent="0.25">
      <c r="A118" s="10" t="s">
        <v>28</v>
      </c>
      <c r="B118" s="10" t="s">
        <v>4</v>
      </c>
      <c r="C118" s="11" t="s">
        <v>5</v>
      </c>
      <c r="D118" s="20">
        <v>250</v>
      </c>
      <c r="E118" s="20">
        <v>300</v>
      </c>
      <c r="F118" s="16">
        <v>2605</v>
      </c>
      <c r="G118" s="20">
        <v>39075</v>
      </c>
      <c r="H118" s="12">
        <v>45474</v>
      </c>
    </row>
    <row r="119" spans="1:8" x14ac:dyDescent="0.25">
      <c r="A119" s="10" t="s">
        <v>28</v>
      </c>
      <c r="B119" s="10" t="s">
        <v>7</v>
      </c>
      <c r="C119" s="11" t="s">
        <v>5</v>
      </c>
      <c r="D119" s="20">
        <v>250</v>
      </c>
      <c r="E119" s="20">
        <v>300</v>
      </c>
      <c r="F119" s="16">
        <v>386</v>
      </c>
      <c r="G119" s="20">
        <v>5790</v>
      </c>
      <c r="H119" s="12">
        <v>45474</v>
      </c>
    </row>
    <row r="120" spans="1:8" x14ac:dyDescent="0.25">
      <c r="A120" s="10" t="s">
        <v>15</v>
      </c>
      <c r="B120" s="10" t="s">
        <v>9</v>
      </c>
      <c r="C120" s="11" t="s">
        <v>5</v>
      </c>
      <c r="D120" s="20">
        <v>260</v>
      </c>
      <c r="E120" s="20">
        <v>350</v>
      </c>
      <c r="F120" s="16">
        <v>2007</v>
      </c>
      <c r="G120" s="20">
        <v>35122.5</v>
      </c>
      <c r="H120" s="12">
        <v>45474</v>
      </c>
    </row>
    <row r="121" spans="1:8" x14ac:dyDescent="0.25">
      <c r="A121" s="10" t="s">
        <v>17</v>
      </c>
      <c r="B121" s="10" t="s">
        <v>9</v>
      </c>
      <c r="C121" s="11" t="s">
        <v>14</v>
      </c>
      <c r="D121" s="20">
        <v>250</v>
      </c>
      <c r="E121" s="20">
        <v>300</v>
      </c>
      <c r="F121" s="16">
        <v>2498</v>
      </c>
      <c r="G121" s="20">
        <v>0</v>
      </c>
      <c r="H121" s="12">
        <v>45474</v>
      </c>
    </row>
    <row r="122" spans="1:8" x14ac:dyDescent="0.25">
      <c r="A122" s="10" t="s">
        <v>15</v>
      </c>
      <c r="B122" s="10" t="s">
        <v>6</v>
      </c>
      <c r="C122" s="11" t="s">
        <v>14</v>
      </c>
      <c r="D122" s="20">
        <v>260</v>
      </c>
      <c r="E122" s="20">
        <v>350</v>
      </c>
      <c r="F122" s="16">
        <v>200</v>
      </c>
      <c r="G122" s="20">
        <v>3500</v>
      </c>
      <c r="H122" s="12">
        <v>45474</v>
      </c>
    </row>
    <row r="123" spans="1:8" x14ac:dyDescent="0.25">
      <c r="A123" s="10" t="s">
        <v>15</v>
      </c>
      <c r="B123" s="10" t="s">
        <v>9</v>
      </c>
      <c r="C123" s="11" t="s">
        <v>8</v>
      </c>
      <c r="D123" s="20">
        <v>10</v>
      </c>
      <c r="E123" s="20">
        <v>20</v>
      </c>
      <c r="F123" s="16">
        <v>1265</v>
      </c>
      <c r="G123" s="20">
        <v>0</v>
      </c>
      <c r="H123" s="12">
        <v>45474</v>
      </c>
    </row>
    <row r="124" spans="1:8" x14ac:dyDescent="0.25">
      <c r="A124" s="10" t="s">
        <v>15</v>
      </c>
      <c r="B124" s="10" t="s">
        <v>10</v>
      </c>
      <c r="C124" s="11" t="s">
        <v>8</v>
      </c>
      <c r="D124" s="20">
        <v>260</v>
      </c>
      <c r="E124" s="20">
        <v>350</v>
      </c>
      <c r="F124" s="16">
        <v>1725</v>
      </c>
      <c r="G124" s="20">
        <v>0</v>
      </c>
      <c r="H124" s="12">
        <v>45474</v>
      </c>
    </row>
    <row r="125" spans="1:8" x14ac:dyDescent="0.25">
      <c r="A125" s="10" t="s">
        <v>28</v>
      </c>
      <c r="B125" s="10" t="s">
        <v>4</v>
      </c>
      <c r="C125" s="11" t="s">
        <v>8</v>
      </c>
      <c r="D125" s="20">
        <v>260</v>
      </c>
      <c r="E125" s="20">
        <v>350</v>
      </c>
      <c r="F125" s="16">
        <v>2151</v>
      </c>
      <c r="G125" s="20">
        <v>37642.5</v>
      </c>
      <c r="H125" s="12">
        <v>45474</v>
      </c>
    </row>
    <row r="126" spans="1:8" x14ac:dyDescent="0.25">
      <c r="A126" s="10" t="s">
        <v>15</v>
      </c>
      <c r="B126" s="10" t="s">
        <v>10</v>
      </c>
      <c r="C126" s="11" t="s">
        <v>16</v>
      </c>
      <c r="D126" s="20">
        <v>10</v>
      </c>
      <c r="E126" s="20">
        <v>20</v>
      </c>
      <c r="F126" s="16">
        <v>935</v>
      </c>
      <c r="G126" s="20">
        <v>935</v>
      </c>
      <c r="H126" s="12">
        <v>45474</v>
      </c>
    </row>
    <row r="127" spans="1:8" x14ac:dyDescent="0.25">
      <c r="A127" s="10" t="s">
        <v>15</v>
      </c>
      <c r="B127" s="10" t="s">
        <v>6</v>
      </c>
      <c r="C127" s="11" t="s">
        <v>16</v>
      </c>
      <c r="D127" s="20">
        <v>10</v>
      </c>
      <c r="E127" s="20">
        <v>20</v>
      </c>
      <c r="F127" s="16">
        <v>220</v>
      </c>
      <c r="G127" s="20">
        <v>0</v>
      </c>
      <c r="H127" s="12">
        <v>45474</v>
      </c>
    </row>
    <row r="128" spans="1:8" x14ac:dyDescent="0.25">
      <c r="A128" s="10" t="s">
        <v>15</v>
      </c>
      <c r="B128" s="10" t="s">
        <v>4</v>
      </c>
      <c r="C128" s="11" t="s">
        <v>16</v>
      </c>
      <c r="D128" s="20">
        <v>10</v>
      </c>
      <c r="E128" s="20">
        <v>20</v>
      </c>
      <c r="F128" s="16">
        <v>1123</v>
      </c>
      <c r="G128" s="20">
        <v>1123</v>
      </c>
      <c r="H128" s="12">
        <v>45474</v>
      </c>
    </row>
    <row r="129" spans="1:8" x14ac:dyDescent="0.25">
      <c r="A129" s="10" t="s">
        <v>15</v>
      </c>
      <c r="B129" s="10" t="s">
        <v>7</v>
      </c>
      <c r="C129" s="11" t="s">
        <v>16</v>
      </c>
      <c r="D129" s="20">
        <v>10</v>
      </c>
      <c r="E129" s="20">
        <v>20</v>
      </c>
      <c r="F129" s="16">
        <v>600</v>
      </c>
      <c r="G129" s="20">
        <v>0</v>
      </c>
      <c r="H129" s="12">
        <v>45474</v>
      </c>
    </row>
    <row r="130" spans="1:8" x14ac:dyDescent="0.25">
      <c r="A130" s="10" t="s">
        <v>15</v>
      </c>
      <c r="B130" s="10" t="s">
        <v>7</v>
      </c>
      <c r="C130" s="11" t="s">
        <v>8</v>
      </c>
      <c r="D130" s="20">
        <v>260</v>
      </c>
      <c r="E130" s="20">
        <v>350</v>
      </c>
      <c r="F130" s="16">
        <v>1922</v>
      </c>
      <c r="G130" s="20">
        <v>33635</v>
      </c>
      <c r="H130" s="12">
        <v>45505</v>
      </c>
    </row>
    <row r="131" spans="1:8" x14ac:dyDescent="0.25">
      <c r="A131" s="10" t="s">
        <v>11</v>
      </c>
      <c r="B131" s="10" t="s">
        <v>4</v>
      </c>
      <c r="C131" s="11" t="s">
        <v>16</v>
      </c>
      <c r="D131" s="20">
        <v>120</v>
      </c>
      <c r="E131" s="20">
        <v>125</v>
      </c>
      <c r="F131" s="16">
        <v>554</v>
      </c>
      <c r="G131" s="20">
        <v>3462.5</v>
      </c>
      <c r="H131" s="12">
        <v>45505</v>
      </c>
    </row>
    <row r="132" spans="1:8" x14ac:dyDescent="0.25">
      <c r="A132" s="10" t="s">
        <v>11</v>
      </c>
      <c r="B132" s="10" t="s">
        <v>7</v>
      </c>
      <c r="C132" s="11" t="s">
        <v>16</v>
      </c>
      <c r="D132" s="20">
        <v>260</v>
      </c>
      <c r="E132" s="20">
        <v>350</v>
      </c>
      <c r="F132" s="16">
        <v>1527</v>
      </c>
      <c r="G132" s="20">
        <v>0</v>
      </c>
      <c r="H132" s="12">
        <v>45505</v>
      </c>
    </row>
    <row r="133" spans="1:8" x14ac:dyDescent="0.25">
      <c r="A133" s="10" t="s">
        <v>17</v>
      </c>
      <c r="B133" s="10" t="s">
        <v>7</v>
      </c>
      <c r="C133" s="11" t="s">
        <v>13</v>
      </c>
      <c r="D133" s="20">
        <v>5</v>
      </c>
      <c r="E133" s="20">
        <v>7</v>
      </c>
      <c r="F133" s="16">
        <v>145</v>
      </c>
      <c r="G133" s="20">
        <v>0</v>
      </c>
      <c r="H133" s="12">
        <v>45506</v>
      </c>
    </row>
    <row r="134" spans="1:8" x14ac:dyDescent="0.25">
      <c r="A134" s="10" t="s">
        <v>17</v>
      </c>
      <c r="B134" s="10" t="s">
        <v>10</v>
      </c>
      <c r="C134" s="11" t="s">
        <v>8</v>
      </c>
      <c r="D134" s="20">
        <v>3</v>
      </c>
      <c r="E134" s="20">
        <v>12</v>
      </c>
      <c r="F134" s="16">
        <v>2222</v>
      </c>
      <c r="G134" s="20">
        <v>1333.2</v>
      </c>
      <c r="H134" s="12">
        <v>45507</v>
      </c>
    </row>
    <row r="135" spans="1:8" x14ac:dyDescent="0.25">
      <c r="A135" s="10" t="s">
        <v>17</v>
      </c>
      <c r="B135" s="10" t="s">
        <v>6</v>
      </c>
      <c r="C135" s="11" t="s">
        <v>14</v>
      </c>
      <c r="D135" s="20">
        <v>3</v>
      </c>
      <c r="E135" s="20">
        <v>12</v>
      </c>
      <c r="F135" s="16">
        <v>1775</v>
      </c>
      <c r="G135" s="20">
        <v>1065</v>
      </c>
      <c r="H135" s="12">
        <v>45508</v>
      </c>
    </row>
    <row r="136" spans="1:8" x14ac:dyDescent="0.25">
      <c r="A136" s="10" t="s">
        <v>17</v>
      </c>
      <c r="B136" s="10" t="s">
        <v>9</v>
      </c>
      <c r="C136" s="11" t="s">
        <v>5</v>
      </c>
      <c r="D136" s="20">
        <v>3</v>
      </c>
      <c r="E136" s="20">
        <v>12</v>
      </c>
      <c r="F136" s="16">
        <v>912</v>
      </c>
      <c r="G136" s="20">
        <v>0</v>
      </c>
      <c r="H136" s="12">
        <v>45509</v>
      </c>
    </row>
    <row r="137" spans="1:8" x14ac:dyDescent="0.25">
      <c r="A137" s="10" t="s">
        <v>17</v>
      </c>
      <c r="B137" s="10" t="s">
        <v>4</v>
      </c>
      <c r="C137" s="11" t="s">
        <v>8</v>
      </c>
      <c r="D137" s="20">
        <v>3</v>
      </c>
      <c r="E137" s="20">
        <v>12</v>
      </c>
      <c r="F137" s="16">
        <v>2763</v>
      </c>
      <c r="G137" s="20">
        <v>1657.8000000000002</v>
      </c>
      <c r="H137" s="12">
        <v>45510</v>
      </c>
    </row>
    <row r="138" spans="1:8" x14ac:dyDescent="0.25">
      <c r="A138" s="10" t="s">
        <v>17</v>
      </c>
      <c r="B138" s="10" t="s">
        <v>7</v>
      </c>
      <c r="C138" s="11" t="s">
        <v>8</v>
      </c>
      <c r="D138" s="20">
        <v>3</v>
      </c>
      <c r="E138" s="20">
        <v>12</v>
      </c>
      <c r="F138" s="16">
        <v>1785</v>
      </c>
      <c r="G138" s="20">
        <v>1071</v>
      </c>
      <c r="H138" s="12">
        <v>45511</v>
      </c>
    </row>
    <row r="139" spans="1:8" x14ac:dyDescent="0.25">
      <c r="A139" s="10" t="s">
        <v>44</v>
      </c>
      <c r="B139" s="10" t="s">
        <v>10</v>
      </c>
      <c r="C139" s="11" t="s">
        <v>8</v>
      </c>
      <c r="D139" s="20">
        <v>10</v>
      </c>
      <c r="E139" s="20">
        <v>15</v>
      </c>
      <c r="F139" s="16">
        <v>2152</v>
      </c>
      <c r="G139" s="20">
        <v>0</v>
      </c>
      <c r="H139" s="12">
        <v>45512</v>
      </c>
    </row>
    <row r="140" spans="1:8" x14ac:dyDescent="0.25">
      <c r="A140" s="10" t="s">
        <v>44</v>
      </c>
      <c r="B140" s="10" t="s">
        <v>6</v>
      </c>
      <c r="C140" s="11" t="s">
        <v>14</v>
      </c>
      <c r="D140" s="20">
        <v>10</v>
      </c>
      <c r="E140" s="20">
        <v>15</v>
      </c>
      <c r="F140" s="16">
        <v>2116</v>
      </c>
      <c r="G140" s="20">
        <v>1587</v>
      </c>
      <c r="H140" s="12">
        <v>45513</v>
      </c>
    </row>
    <row r="141" spans="1:8" x14ac:dyDescent="0.25">
      <c r="A141" s="10" t="s">
        <v>44</v>
      </c>
      <c r="B141" s="10" t="s">
        <v>9</v>
      </c>
      <c r="C141" s="11" t="s">
        <v>5</v>
      </c>
      <c r="D141" s="20">
        <v>10</v>
      </c>
      <c r="E141" s="20">
        <v>15</v>
      </c>
      <c r="F141" s="16">
        <v>1925</v>
      </c>
      <c r="G141" s="20">
        <v>0</v>
      </c>
      <c r="H141" s="12">
        <v>45514</v>
      </c>
    </row>
    <row r="142" spans="1:8" x14ac:dyDescent="0.25">
      <c r="A142" s="10" t="s">
        <v>44</v>
      </c>
      <c r="B142" s="10" t="s">
        <v>4</v>
      </c>
      <c r="C142" s="11" t="s">
        <v>8</v>
      </c>
      <c r="D142" s="20">
        <v>10</v>
      </c>
      <c r="E142" s="20">
        <v>15</v>
      </c>
      <c r="F142" s="16">
        <v>380</v>
      </c>
      <c r="G142" s="20">
        <v>285</v>
      </c>
      <c r="H142" s="12">
        <v>45515</v>
      </c>
    </row>
    <row r="143" spans="1:8" x14ac:dyDescent="0.25">
      <c r="A143" s="10" t="s">
        <v>44</v>
      </c>
      <c r="B143" s="10" t="s">
        <v>7</v>
      </c>
      <c r="C143" s="11" t="s">
        <v>8</v>
      </c>
      <c r="D143" s="20">
        <v>10</v>
      </c>
      <c r="E143" s="20">
        <v>15</v>
      </c>
      <c r="F143" s="16">
        <v>2261</v>
      </c>
      <c r="G143" s="20">
        <v>1695.75</v>
      </c>
      <c r="H143" s="12">
        <v>45516</v>
      </c>
    </row>
    <row r="144" spans="1:8" x14ac:dyDescent="0.25">
      <c r="A144" s="10" t="s">
        <v>17</v>
      </c>
      <c r="B144" s="10" t="s">
        <v>10</v>
      </c>
      <c r="C144" s="11" t="s">
        <v>12</v>
      </c>
      <c r="D144" s="20">
        <v>3</v>
      </c>
      <c r="E144" s="20">
        <v>12</v>
      </c>
      <c r="F144" s="16">
        <v>2761</v>
      </c>
      <c r="G144" s="20">
        <v>1656.6000000000001</v>
      </c>
      <c r="H144" s="12">
        <v>45536</v>
      </c>
    </row>
    <row r="145" spans="1:8" x14ac:dyDescent="0.25">
      <c r="A145" s="10" t="s">
        <v>17</v>
      </c>
      <c r="B145" s="10" t="s">
        <v>9</v>
      </c>
      <c r="C145" s="11" t="s">
        <v>12</v>
      </c>
      <c r="D145" s="20">
        <v>3</v>
      </c>
      <c r="E145" s="20">
        <v>12</v>
      </c>
      <c r="F145" s="16">
        <v>1989</v>
      </c>
      <c r="G145" s="20">
        <v>119.34</v>
      </c>
      <c r="H145" s="12">
        <v>45536</v>
      </c>
    </row>
    <row r="146" spans="1:8" x14ac:dyDescent="0.25">
      <c r="A146" s="10" t="s">
        <v>11</v>
      </c>
      <c r="B146" s="10" t="s">
        <v>10</v>
      </c>
      <c r="C146" s="11" t="s">
        <v>12</v>
      </c>
      <c r="D146" s="20">
        <v>120</v>
      </c>
      <c r="E146" s="20">
        <v>125</v>
      </c>
      <c r="F146" s="16">
        <v>2416</v>
      </c>
      <c r="G146" s="20">
        <v>15100</v>
      </c>
      <c r="H146" s="12">
        <v>45536</v>
      </c>
    </row>
    <row r="147" spans="1:8" x14ac:dyDescent="0.25">
      <c r="A147" s="10" t="s">
        <v>11</v>
      </c>
      <c r="B147" s="10" t="s">
        <v>6</v>
      </c>
      <c r="C147" s="11" t="s">
        <v>12</v>
      </c>
      <c r="D147" s="20">
        <v>120</v>
      </c>
      <c r="E147" s="20">
        <v>125</v>
      </c>
      <c r="F147" s="16">
        <v>994</v>
      </c>
      <c r="G147" s="20">
        <v>6212.5</v>
      </c>
      <c r="H147" s="12">
        <v>45536</v>
      </c>
    </row>
    <row r="148" spans="1:8" x14ac:dyDescent="0.25">
      <c r="A148" s="10" t="s">
        <v>11</v>
      </c>
      <c r="B148" s="10" t="s">
        <v>4</v>
      </c>
      <c r="C148" s="11" t="s">
        <v>12</v>
      </c>
      <c r="D148" s="20">
        <v>120</v>
      </c>
      <c r="E148" s="20">
        <v>125</v>
      </c>
      <c r="F148" s="16">
        <v>947</v>
      </c>
      <c r="G148" s="20">
        <v>5918.75</v>
      </c>
      <c r="H148" s="12">
        <v>45536</v>
      </c>
    </row>
    <row r="149" spans="1:8" x14ac:dyDescent="0.25">
      <c r="A149" s="10" t="s">
        <v>15</v>
      </c>
      <c r="B149" s="10" t="s">
        <v>10</v>
      </c>
      <c r="C149" s="11" t="s">
        <v>12</v>
      </c>
      <c r="D149" s="20">
        <v>260</v>
      </c>
      <c r="E149" s="20">
        <v>350</v>
      </c>
      <c r="F149" s="16">
        <v>1778</v>
      </c>
      <c r="G149" s="20">
        <v>31115</v>
      </c>
      <c r="H149" s="12">
        <v>45536</v>
      </c>
    </row>
    <row r="150" spans="1:8" x14ac:dyDescent="0.25">
      <c r="A150" s="10" t="s">
        <v>28</v>
      </c>
      <c r="B150" s="10" t="s">
        <v>6</v>
      </c>
      <c r="C150" s="11" t="s">
        <v>13</v>
      </c>
      <c r="D150" s="20">
        <v>10</v>
      </c>
      <c r="E150" s="20">
        <v>20</v>
      </c>
      <c r="F150" s="16">
        <v>442</v>
      </c>
      <c r="G150" s="20">
        <v>442</v>
      </c>
      <c r="H150" s="12">
        <v>45536</v>
      </c>
    </row>
    <row r="151" spans="1:8" x14ac:dyDescent="0.25">
      <c r="A151" s="10" t="s">
        <v>28</v>
      </c>
      <c r="B151" s="10" t="s">
        <v>4</v>
      </c>
      <c r="C151" s="11" t="s">
        <v>13</v>
      </c>
      <c r="D151" s="20">
        <v>10</v>
      </c>
      <c r="E151" s="20">
        <v>20</v>
      </c>
      <c r="F151" s="16">
        <v>1834</v>
      </c>
      <c r="G151" s="20">
        <v>1834</v>
      </c>
      <c r="H151" s="12">
        <v>45536</v>
      </c>
    </row>
    <row r="152" spans="1:8" x14ac:dyDescent="0.25">
      <c r="A152" s="10" t="s">
        <v>11</v>
      </c>
      <c r="B152" s="10" t="s">
        <v>6</v>
      </c>
      <c r="C152" s="11" t="s">
        <v>13</v>
      </c>
      <c r="D152" s="20">
        <v>120</v>
      </c>
      <c r="E152" s="20">
        <v>125</v>
      </c>
      <c r="F152" s="16">
        <v>887</v>
      </c>
      <c r="G152" s="20">
        <v>5543.75</v>
      </c>
      <c r="H152" s="12">
        <v>45536</v>
      </c>
    </row>
    <row r="153" spans="1:8" x14ac:dyDescent="0.25">
      <c r="A153" s="10" t="s">
        <v>11</v>
      </c>
      <c r="B153" s="10" t="s">
        <v>9</v>
      </c>
      <c r="C153" s="11" t="s">
        <v>13</v>
      </c>
      <c r="D153" s="20">
        <v>120</v>
      </c>
      <c r="E153" s="20">
        <v>125</v>
      </c>
      <c r="F153" s="16">
        <v>330</v>
      </c>
      <c r="G153" s="20">
        <v>2062.5</v>
      </c>
      <c r="H153" s="12">
        <v>45536</v>
      </c>
    </row>
    <row r="154" spans="1:8" x14ac:dyDescent="0.25">
      <c r="A154" s="10" t="s">
        <v>11</v>
      </c>
      <c r="B154" s="10" t="s">
        <v>4</v>
      </c>
      <c r="C154" s="11" t="s">
        <v>13</v>
      </c>
      <c r="D154" s="20">
        <v>120</v>
      </c>
      <c r="E154" s="20">
        <v>125</v>
      </c>
      <c r="F154" s="16">
        <v>2821</v>
      </c>
      <c r="G154" s="20">
        <v>17631.25</v>
      </c>
      <c r="H154" s="12">
        <v>45536</v>
      </c>
    </row>
    <row r="155" spans="1:8" x14ac:dyDescent="0.25">
      <c r="A155" s="10" t="s">
        <v>11</v>
      </c>
      <c r="B155" s="10" t="s">
        <v>7</v>
      </c>
      <c r="C155" s="11" t="s">
        <v>13</v>
      </c>
      <c r="D155" s="20">
        <v>120</v>
      </c>
      <c r="E155" s="20">
        <v>125</v>
      </c>
      <c r="F155" s="16">
        <v>1023</v>
      </c>
      <c r="G155" s="20">
        <v>0</v>
      </c>
      <c r="H155" s="12">
        <v>45536</v>
      </c>
    </row>
    <row r="156" spans="1:8" x14ac:dyDescent="0.25">
      <c r="A156" s="10" t="s">
        <v>11</v>
      </c>
      <c r="B156" s="10" t="s">
        <v>7</v>
      </c>
      <c r="C156" s="11" t="s">
        <v>13</v>
      </c>
      <c r="D156" s="20">
        <v>120</v>
      </c>
      <c r="E156" s="20">
        <v>125</v>
      </c>
      <c r="F156" s="16">
        <v>1482</v>
      </c>
      <c r="G156" s="20">
        <v>9262.5</v>
      </c>
      <c r="H156" s="12">
        <v>45536</v>
      </c>
    </row>
    <row r="157" spans="1:8" x14ac:dyDescent="0.25">
      <c r="A157" s="10" t="s">
        <v>28</v>
      </c>
      <c r="B157" s="10" t="s">
        <v>9</v>
      </c>
      <c r="C157" s="11" t="s">
        <v>5</v>
      </c>
      <c r="D157" s="20">
        <v>5</v>
      </c>
      <c r="E157" s="20">
        <v>7</v>
      </c>
      <c r="F157" s="16">
        <v>380</v>
      </c>
      <c r="G157" s="20">
        <v>0</v>
      </c>
      <c r="H157" s="12">
        <v>45536</v>
      </c>
    </row>
    <row r="158" spans="1:8" x14ac:dyDescent="0.25">
      <c r="A158" s="10" t="s">
        <v>28</v>
      </c>
      <c r="B158" s="10" t="s">
        <v>10</v>
      </c>
      <c r="C158" s="11" t="s">
        <v>5</v>
      </c>
      <c r="D158" s="20">
        <v>10</v>
      </c>
      <c r="E158" s="20">
        <v>20</v>
      </c>
      <c r="F158" s="16">
        <v>2646</v>
      </c>
      <c r="G158" s="20">
        <v>2646</v>
      </c>
      <c r="H158" s="12">
        <v>45536</v>
      </c>
    </row>
    <row r="159" spans="1:8" x14ac:dyDescent="0.25">
      <c r="A159" s="10" t="s">
        <v>44</v>
      </c>
      <c r="B159" s="10" t="s">
        <v>6</v>
      </c>
      <c r="C159" s="11" t="s">
        <v>5</v>
      </c>
      <c r="D159" s="20">
        <v>10</v>
      </c>
      <c r="E159" s="20">
        <v>15</v>
      </c>
      <c r="F159" s="16">
        <v>660</v>
      </c>
      <c r="G159" s="20">
        <v>495</v>
      </c>
      <c r="H159" s="12">
        <v>45536</v>
      </c>
    </row>
    <row r="160" spans="1:8" x14ac:dyDescent="0.25">
      <c r="A160" s="10" t="s">
        <v>15</v>
      </c>
      <c r="B160" s="10" t="s">
        <v>6</v>
      </c>
      <c r="C160" s="11" t="s">
        <v>5</v>
      </c>
      <c r="D160" s="20">
        <v>10</v>
      </c>
      <c r="E160" s="20">
        <v>20</v>
      </c>
      <c r="F160" s="16">
        <v>588</v>
      </c>
      <c r="G160" s="20">
        <v>588</v>
      </c>
      <c r="H160" s="12">
        <v>45536</v>
      </c>
    </row>
    <row r="161" spans="1:8" x14ac:dyDescent="0.25">
      <c r="A161" s="10" t="s">
        <v>44</v>
      </c>
      <c r="B161" s="10" t="s">
        <v>9</v>
      </c>
      <c r="C161" s="11" t="s">
        <v>5</v>
      </c>
      <c r="D161" s="20">
        <v>10</v>
      </c>
      <c r="E161" s="20">
        <v>15</v>
      </c>
      <c r="F161" s="16">
        <v>2931</v>
      </c>
      <c r="G161" s="20">
        <v>2198.25</v>
      </c>
      <c r="H161" s="12">
        <v>45536</v>
      </c>
    </row>
    <row r="162" spans="1:8" x14ac:dyDescent="0.25">
      <c r="A162" s="10" t="s">
        <v>28</v>
      </c>
      <c r="B162" s="10" t="s">
        <v>9</v>
      </c>
      <c r="C162" s="11" t="s">
        <v>5</v>
      </c>
      <c r="D162" s="20">
        <v>10</v>
      </c>
      <c r="E162" s="20">
        <v>20</v>
      </c>
      <c r="F162" s="16">
        <v>736</v>
      </c>
      <c r="G162" s="20">
        <v>736</v>
      </c>
      <c r="H162" s="12">
        <v>45536</v>
      </c>
    </row>
    <row r="163" spans="1:8" x14ac:dyDescent="0.25">
      <c r="A163" s="10" t="s">
        <v>44</v>
      </c>
      <c r="B163" s="10" t="s">
        <v>4</v>
      </c>
      <c r="C163" s="11" t="s">
        <v>5</v>
      </c>
      <c r="D163" s="20">
        <v>10</v>
      </c>
      <c r="E163" s="20">
        <v>15</v>
      </c>
      <c r="F163" s="16">
        <v>655</v>
      </c>
      <c r="G163" s="20">
        <v>491.25</v>
      </c>
      <c r="H163" s="12">
        <v>45536</v>
      </c>
    </row>
    <row r="164" spans="1:8" x14ac:dyDescent="0.25">
      <c r="A164" s="10" t="s">
        <v>17</v>
      </c>
      <c r="B164" s="10" t="s">
        <v>7</v>
      </c>
      <c r="C164" s="11" t="s">
        <v>5</v>
      </c>
      <c r="D164" s="20">
        <v>10</v>
      </c>
      <c r="E164" s="20">
        <v>20</v>
      </c>
      <c r="F164" s="16">
        <v>2805</v>
      </c>
      <c r="G164" s="20">
        <v>2805</v>
      </c>
      <c r="H164" s="12">
        <v>45536</v>
      </c>
    </row>
    <row r="165" spans="1:8" x14ac:dyDescent="0.25">
      <c r="A165" s="10" t="s">
        <v>11</v>
      </c>
      <c r="B165" s="10" t="s">
        <v>10</v>
      </c>
      <c r="C165" s="11" t="s">
        <v>5</v>
      </c>
      <c r="D165" s="20">
        <v>120</v>
      </c>
      <c r="E165" s="20">
        <v>125</v>
      </c>
      <c r="F165" s="16">
        <v>1916</v>
      </c>
      <c r="G165" s="20">
        <v>11975</v>
      </c>
      <c r="H165" s="12">
        <v>45536</v>
      </c>
    </row>
    <row r="166" spans="1:8" x14ac:dyDescent="0.25">
      <c r="A166" s="10" t="s">
        <v>11</v>
      </c>
      <c r="B166" s="10" t="s">
        <v>9</v>
      </c>
      <c r="C166" s="11" t="s">
        <v>5</v>
      </c>
      <c r="D166" s="20">
        <v>120</v>
      </c>
      <c r="E166" s="20">
        <v>125</v>
      </c>
      <c r="F166" s="16">
        <v>2438</v>
      </c>
      <c r="G166" s="20">
        <v>15237.5</v>
      </c>
      <c r="H166" s="12">
        <v>45536</v>
      </c>
    </row>
    <row r="167" spans="1:8" x14ac:dyDescent="0.25">
      <c r="A167" s="10" t="s">
        <v>28</v>
      </c>
      <c r="B167" s="10" t="s">
        <v>10</v>
      </c>
      <c r="C167" s="11" t="s">
        <v>14</v>
      </c>
      <c r="D167" s="20">
        <v>5</v>
      </c>
      <c r="E167" s="20">
        <v>7</v>
      </c>
      <c r="F167" s="16">
        <v>2409</v>
      </c>
      <c r="G167" s="20">
        <v>843.15000000000009</v>
      </c>
      <c r="H167" s="12">
        <v>45536</v>
      </c>
    </row>
    <row r="168" spans="1:8" x14ac:dyDescent="0.25">
      <c r="A168" s="10" t="s">
        <v>15</v>
      </c>
      <c r="B168" s="10" t="s">
        <v>10</v>
      </c>
      <c r="C168" s="11" t="s">
        <v>14</v>
      </c>
      <c r="D168" s="20">
        <v>5</v>
      </c>
      <c r="E168" s="20">
        <v>7</v>
      </c>
      <c r="F168" s="16">
        <v>1611</v>
      </c>
      <c r="G168" s="20">
        <v>563.85</v>
      </c>
      <c r="H168" s="12">
        <v>45536</v>
      </c>
    </row>
    <row r="169" spans="1:8" x14ac:dyDescent="0.25">
      <c r="A169" s="10" t="s">
        <v>15</v>
      </c>
      <c r="B169" s="10" t="s">
        <v>6</v>
      </c>
      <c r="C169" s="11" t="s">
        <v>14</v>
      </c>
      <c r="D169" s="20">
        <v>5</v>
      </c>
      <c r="E169" s="20">
        <v>7</v>
      </c>
      <c r="F169" s="16">
        <v>125</v>
      </c>
      <c r="G169" s="20">
        <v>43.75</v>
      </c>
      <c r="H169" s="12">
        <v>45536</v>
      </c>
    </row>
    <row r="170" spans="1:8" x14ac:dyDescent="0.25">
      <c r="A170" s="10" t="s">
        <v>28</v>
      </c>
      <c r="B170" s="10" t="s">
        <v>10</v>
      </c>
      <c r="C170" s="11" t="s">
        <v>14</v>
      </c>
      <c r="D170" s="20">
        <v>250</v>
      </c>
      <c r="E170" s="20">
        <v>300</v>
      </c>
      <c r="F170" s="16">
        <v>1283</v>
      </c>
      <c r="G170" s="20">
        <v>19245</v>
      </c>
      <c r="H170" s="12">
        <v>45536</v>
      </c>
    </row>
    <row r="171" spans="1:8" x14ac:dyDescent="0.25">
      <c r="A171" s="10" t="s">
        <v>28</v>
      </c>
      <c r="B171" s="10" t="s">
        <v>6</v>
      </c>
      <c r="C171" s="11" t="s">
        <v>14</v>
      </c>
      <c r="D171" s="20">
        <v>250</v>
      </c>
      <c r="E171" s="20">
        <v>300</v>
      </c>
      <c r="F171" s="16">
        <v>334</v>
      </c>
      <c r="G171" s="20">
        <v>5010</v>
      </c>
      <c r="H171" s="12">
        <v>45536</v>
      </c>
    </row>
    <row r="172" spans="1:8" x14ac:dyDescent="0.25">
      <c r="A172" s="10" t="s">
        <v>28</v>
      </c>
      <c r="B172" s="10" t="s">
        <v>6</v>
      </c>
      <c r="C172" s="11" t="s">
        <v>14</v>
      </c>
      <c r="D172" s="20">
        <v>250</v>
      </c>
      <c r="E172" s="20">
        <v>300</v>
      </c>
      <c r="F172" s="16">
        <v>1123</v>
      </c>
      <c r="G172" s="20">
        <v>16845</v>
      </c>
      <c r="H172" s="12">
        <v>45536</v>
      </c>
    </row>
    <row r="173" spans="1:8" x14ac:dyDescent="0.25">
      <c r="A173" s="10" t="s">
        <v>28</v>
      </c>
      <c r="B173" s="10" t="s">
        <v>4</v>
      </c>
      <c r="C173" s="11" t="s">
        <v>14</v>
      </c>
      <c r="D173" s="20">
        <v>250</v>
      </c>
      <c r="E173" s="20">
        <v>300</v>
      </c>
      <c r="F173" s="16">
        <v>1100</v>
      </c>
      <c r="G173" s="20">
        <v>16500</v>
      </c>
      <c r="H173" s="12">
        <v>45536</v>
      </c>
    </row>
    <row r="174" spans="1:8" x14ac:dyDescent="0.25">
      <c r="A174" s="10" t="s">
        <v>17</v>
      </c>
      <c r="B174" s="10" t="s">
        <v>7</v>
      </c>
      <c r="C174" s="11" t="s">
        <v>14</v>
      </c>
      <c r="D174" s="20">
        <v>250</v>
      </c>
      <c r="E174" s="20">
        <v>300</v>
      </c>
      <c r="F174" s="16">
        <v>322</v>
      </c>
      <c r="G174" s="20">
        <v>4830</v>
      </c>
      <c r="H174" s="12">
        <v>45536</v>
      </c>
    </row>
    <row r="175" spans="1:8" x14ac:dyDescent="0.25">
      <c r="A175" s="10" t="s">
        <v>17</v>
      </c>
      <c r="B175" s="10" t="s">
        <v>7</v>
      </c>
      <c r="C175" s="11" t="s">
        <v>14</v>
      </c>
      <c r="D175" s="20">
        <v>250</v>
      </c>
      <c r="E175" s="20">
        <v>300</v>
      </c>
      <c r="F175" s="16">
        <v>1186</v>
      </c>
      <c r="G175" s="20">
        <v>17790</v>
      </c>
      <c r="H175" s="12">
        <v>45536</v>
      </c>
    </row>
    <row r="176" spans="1:8" x14ac:dyDescent="0.25">
      <c r="A176" s="10" t="s">
        <v>28</v>
      </c>
      <c r="B176" s="10" t="s">
        <v>10</v>
      </c>
      <c r="C176" s="11" t="s">
        <v>14</v>
      </c>
      <c r="D176" s="20">
        <v>260</v>
      </c>
      <c r="E176" s="20">
        <v>350</v>
      </c>
      <c r="F176" s="16">
        <v>1797</v>
      </c>
      <c r="G176" s="20">
        <v>31447.5</v>
      </c>
      <c r="H176" s="12">
        <v>45536</v>
      </c>
    </row>
    <row r="177" spans="1:8" x14ac:dyDescent="0.25">
      <c r="A177" s="10" t="s">
        <v>28</v>
      </c>
      <c r="B177" s="10" t="s">
        <v>4</v>
      </c>
      <c r="C177" s="11" t="s">
        <v>14</v>
      </c>
      <c r="D177" s="20">
        <v>260</v>
      </c>
      <c r="E177" s="20">
        <v>350</v>
      </c>
      <c r="F177" s="16">
        <v>720</v>
      </c>
      <c r="G177" s="20">
        <v>0</v>
      </c>
      <c r="H177" s="12">
        <v>45536</v>
      </c>
    </row>
    <row r="178" spans="1:8" x14ac:dyDescent="0.25">
      <c r="A178" s="10" t="s">
        <v>28</v>
      </c>
      <c r="B178" s="10" t="s">
        <v>10</v>
      </c>
      <c r="C178" s="11" t="s">
        <v>8</v>
      </c>
      <c r="D178" s="20">
        <v>5</v>
      </c>
      <c r="E178" s="20">
        <v>7</v>
      </c>
      <c r="F178" s="16">
        <v>2349</v>
      </c>
      <c r="G178" s="20">
        <v>822.15000000000009</v>
      </c>
      <c r="H178" s="12">
        <v>45536</v>
      </c>
    </row>
    <row r="179" spans="1:8" x14ac:dyDescent="0.25">
      <c r="A179" s="10" t="s">
        <v>28</v>
      </c>
      <c r="B179" s="10" t="s">
        <v>4</v>
      </c>
      <c r="C179" s="11" t="s">
        <v>8</v>
      </c>
      <c r="D179" s="20">
        <v>5</v>
      </c>
      <c r="E179" s="20">
        <v>7</v>
      </c>
      <c r="F179" s="16">
        <v>1760</v>
      </c>
      <c r="G179" s="20">
        <v>616</v>
      </c>
      <c r="H179" s="12">
        <v>45536</v>
      </c>
    </row>
    <row r="180" spans="1:8" x14ac:dyDescent="0.25">
      <c r="A180" s="10" t="s">
        <v>17</v>
      </c>
      <c r="B180" s="10" t="s">
        <v>7</v>
      </c>
      <c r="C180" s="11" t="s">
        <v>8</v>
      </c>
      <c r="D180" s="20">
        <v>5</v>
      </c>
      <c r="E180" s="20">
        <v>7</v>
      </c>
      <c r="F180" s="16">
        <v>1031</v>
      </c>
      <c r="G180" s="20">
        <v>360.85</v>
      </c>
      <c r="H180" s="12">
        <v>45536</v>
      </c>
    </row>
    <row r="181" spans="1:8" x14ac:dyDescent="0.25">
      <c r="A181" s="10" t="s">
        <v>44</v>
      </c>
      <c r="B181" s="10" t="s">
        <v>10</v>
      </c>
      <c r="C181" s="11" t="s">
        <v>8</v>
      </c>
      <c r="D181" s="20">
        <v>10</v>
      </c>
      <c r="E181" s="20">
        <v>15</v>
      </c>
      <c r="F181" s="16">
        <v>2470</v>
      </c>
      <c r="G181" s="20">
        <v>1852.5</v>
      </c>
      <c r="H181" s="12">
        <v>45536</v>
      </c>
    </row>
    <row r="182" spans="1:8" x14ac:dyDescent="0.25">
      <c r="A182" s="10" t="s">
        <v>15</v>
      </c>
      <c r="B182" s="10" t="s">
        <v>10</v>
      </c>
      <c r="C182" s="11" t="s">
        <v>8</v>
      </c>
      <c r="D182" s="20">
        <v>10</v>
      </c>
      <c r="E182" s="20">
        <v>20</v>
      </c>
      <c r="F182" s="16">
        <v>1802</v>
      </c>
      <c r="G182" s="20">
        <v>1802</v>
      </c>
      <c r="H182" s="12">
        <v>45536</v>
      </c>
    </row>
    <row r="183" spans="1:8" x14ac:dyDescent="0.25">
      <c r="A183" s="10" t="s">
        <v>44</v>
      </c>
      <c r="B183" s="10" t="s">
        <v>7</v>
      </c>
      <c r="C183" s="11" t="s">
        <v>8</v>
      </c>
      <c r="D183" s="20">
        <v>10</v>
      </c>
      <c r="E183" s="20">
        <v>15</v>
      </c>
      <c r="F183" s="16">
        <v>549</v>
      </c>
      <c r="G183" s="20">
        <v>0</v>
      </c>
      <c r="H183" s="12">
        <v>45536</v>
      </c>
    </row>
    <row r="184" spans="1:8" x14ac:dyDescent="0.25">
      <c r="A184" s="10" t="s">
        <v>17</v>
      </c>
      <c r="B184" s="10" t="s">
        <v>9</v>
      </c>
      <c r="C184" s="11" t="s">
        <v>8</v>
      </c>
      <c r="D184" s="20">
        <v>250</v>
      </c>
      <c r="E184" s="20">
        <v>300</v>
      </c>
      <c r="F184" s="16">
        <v>808</v>
      </c>
      <c r="G184" s="20">
        <v>12120</v>
      </c>
      <c r="H184" s="12">
        <v>45536</v>
      </c>
    </row>
    <row r="185" spans="1:8" x14ac:dyDescent="0.25">
      <c r="A185" s="10" t="s">
        <v>28</v>
      </c>
      <c r="B185" s="10" t="s">
        <v>4</v>
      </c>
      <c r="C185" s="11" t="s">
        <v>8</v>
      </c>
      <c r="D185" s="20">
        <v>250</v>
      </c>
      <c r="E185" s="20">
        <v>300</v>
      </c>
      <c r="F185" s="16">
        <v>788</v>
      </c>
      <c r="G185" s="20">
        <v>0</v>
      </c>
      <c r="H185" s="12">
        <v>45536</v>
      </c>
    </row>
    <row r="186" spans="1:8" x14ac:dyDescent="0.25">
      <c r="A186" s="10" t="s">
        <v>17</v>
      </c>
      <c r="B186" s="10" t="s">
        <v>9</v>
      </c>
      <c r="C186" s="11" t="s">
        <v>8</v>
      </c>
      <c r="D186" s="20">
        <v>260</v>
      </c>
      <c r="E186" s="20">
        <v>350</v>
      </c>
      <c r="F186" s="16">
        <v>349</v>
      </c>
      <c r="G186" s="20">
        <v>0</v>
      </c>
      <c r="H186" s="12">
        <v>45536</v>
      </c>
    </row>
    <row r="187" spans="1:8" x14ac:dyDescent="0.25">
      <c r="A187" s="10" t="s">
        <v>17</v>
      </c>
      <c r="B187" s="10" t="s">
        <v>6</v>
      </c>
      <c r="C187" s="11" t="s">
        <v>16</v>
      </c>
      <c r="D187" s="20">
        <v>3</v>
      </c>
      <c r="E187" s="20">
        <v>12</v>
      </c>
      <c r="F187" s="16">
        <v>2215</v>
      </c>
      <c r="G187" s="20">
        <v>1329</v>
      </c>
      <c r="H187" s="12">
        <v>45536</v>
      </c>
    </row>
    <row r="188" spans="1:8" x14ac:dyDescent="0.25">
      <c r="A188" s="10" t="s">
        <v>17</v>
      </c>
      <c r="B188" s="10" t="s">
        <v>4</v>
      </c>
      <c r="C188" s="11" t="s">
        <v>16</v>
      </c>
      <c r="D188" s="20">
        <v>3</v>
      </c>
      <c r="E188" s="20">
        <v>12</v>
      </c>
      <c r="F188" s="16">
        <v>1005</v>
      </c>
      <c r="G188" s="20">
        <v>603</v>
      </c>
      <c r="H188" s="12">
        <v>45536</v>
      </c>
    </row>
    <row r="189" spans="1:8" x14ac:dyDescent="0.25">
      <c r="A189" s="10" t="s">
        <v>17</v>
      </c>
      <c r="B189" s="10" t="s">
        <v>7</v>
      </c>
      <c r="C189" s="11" t="s">
        <v>16</v>
      </c>
      <c r="D189" s="20">
        <v>3</v>
      </c>
      <c r="E189" s="20">
        <v>12</v>
      </c>
      <c r="F189" s="16">
        <v>2234</v>
      </c>
      <c r="G189" s="20">
        <v>1340.4</v>
      </c>
      <c r="H189" s="12">
        <v>45536</v>
      </c>
    </row>
    <row r="190" spans="1:8" x14ac:dyDescent="0.25">
      <c r="A190" s="10" t="s">
        <v>28</v>
      </c>
      <c r="B190" s="10" t="s">
        <v>10</v>
      </c>
      <c r="C190" s="11" t="s">
        <v>16</v>
      </c>
      <c r="D190" s="20">
        <v>250</v>
      </c>
      <c r="E190" s="20">
        <v>300</v>
      </c>
      <c r="F190" s="16">
        <v>2436</v>
      </c>
      <c r="G190" s="20">
        <v>36540</v>
      </c>
      <c r="H190" s="12">
        <v>45536</v>
      </c>
    </row>
    <row r="191" spans="1:8" x14ac:dyDescent="0.25">
      <c r="A191" s="10" t="s">
        <v>28</v>
      </c>
      <c r="B191" s="10" t="s">
        <v>10</v>
      </c>
      <c r="C191" s="11" t="s">
        <v>16</v>
      </c>
      <c r="D191" s="20">
        <v>260</v>
      </c>
      <c r="E191" s="20">
        <v>350</v>
      </c>
      <c r="F191" s="16">
        <v>623</v>
      </c>
      <c r="G191" s="20">
        <v>10902.5</v>
      </c>
      <c r="H191" s="12">
        <v>45536</v>
      </c>
    </row>
    <row r="192" spans="1:8" x14ac:dyDescent="0.25">
      <c r="A192" s="10" t="s">
        <v>15</v>
      </c>
      <c r="B192" s="10" t="s">
        <v>6</v>
      </c>
      <c r="C192" s="11" t="s">
        <v>16</v>
      </c>
      <c r="D192" s="20">
        <v>260</v>
      </c>
      <c r="E192" s="20">
        <v>350</v>
      </c>
      <c r="F192" s="16">
        <v>200</v>
      </c>
      <c r="G192" s="20">
        <v>3500</v>
      </c>
      <c r="H192" s="12">
        <v>45536</v>
      </c>
    </row>
    <row r="193" spans="1:8" x14ac:dyDescent="0.25">
      <c r="A193" s="10" t="s">
        <v>17</v>
      </c>
      <c r="B193" s="10" t="s">
        <v>6</v>
      </c>
      <c r="C193" s="11" t="s">
        <v>12</v>
      </c>
      <c r="D193" s="20">
        <v>3</v>
      </c>
      <c r="E193" s="20">
        <v>12</v>
      </c>
      <c r="F193" s="16">
        <v>1770</v>
      </c>
      <c r="G193" s="20">
        <v>1062</v>
      </c>
      <c r="H193" s="12">
        <v>45566</v>
      </c>
    </row>
    <row r="194" spans="1:8" x14ac:dyDescent="0.25">
      <c r="A194" s="10" t="s">
        <v>17</v>
      </c>
      <c r="B194" s="10" t="s">
        <v>9</v>
      </c>
      <c r="C194" s="11" t="s">
        <v>12</v>
      </c>
      <c r="D194" s="20">
        <v>3</v>
      </c>
      <c r="E194" s="20">
        <v>12</v>
      </c>
      <c r="F194" s="16">
        <v>2015</v>
      </c>
      <c r="G194" s="20">
        <v>1209</v>
      </c>
      <c r="H194" s="12">
        <v>45566</v>
      </c>
    </row>
    <row r="195" spans="1:8" x14ac:dyDescent="0.25">
      <c r="A195" s="10" t="s">
        <v>17</v>
      </c>
      <c r="B195" s="10" t="s">
        <v>4</v>
      </c>
      <c r="C195" s="11" t="s">
        <v>12</v>
      </c>
      <c r="D195" s="20">
        <v>3</v>
      </c>
      <c r="E195" s="20">
        <v>12</v>
      </c>
      <c r="F195" s="16">
        <v>1375</v>
      </c>
      <c r="G195" s="20">
        <v>825</v>
      </c>
      <c r="H195" s="12">
        <v>45566</v>
      </c>
    </row>
    <row r="196" spans="1:8" x14ac:dyDescent="0.25">
      <c r="A196" s="10" t="s">
        <v>15</v>
      </c>
      <c r="B196" s="10" t="s">
        <v>10</v>
      </c>
      <c r="C196" s="11" t="s">
        <v>12</v>
      </c>
      <c r="D196" s="20">
        <v>5</v>
      </c>
      <c r="E196" s="20">
        <v>7</v>
      </c>
      <c r="F196" s="16">
        <v>300</v>
      </c>
      <c r="G196" s="20">
        <v>105</v>
      </c>
      <c r="H196" s="12">
        <v>45566</v>
      </c>
    </row>
    <row r="197" spans="1:8" x14ac:dyDescent="0.25">
      <c r="A197" s="10" t="s">
        <v>28</v>
      </c>
      <c r="B197" s="10" t="s">
        <v>4</v>
      </c>
      <c r="C197" s="11" t="s">
        <v>12</v>
      </c>
      <c r="D197" s="20">
        <v>5</v>
      </c>
      <c r="E197" s="20">
        <v>7</v>
      </c>
      <c r="F197" s="16">
        <v>1727</v>
      </c>
      <c r="G197" s="20">
        <v>604.45000000000005</v>
      </c>
      <c r="H197" s="12">
        <v>45566</v>
      </c>
    </row>
    <row r="198" spans="1:8" x14ac:dyDescent="0.25">
      <c r="A198" s="10" t="s">
        <v>17</v>
      </c>
      <c r="B198" s="10" t="s">
        <v>7</v>
      </c>
      <c r="C198" s="11" t="s">
        <v>12</v>
      </c>
      <c r="D198" s="20">
        <v>5</v>
      </c>
      <c r="E198" s="20">
        <v>7</v>
      </c>
      <c r="F198" s="16">
        <v>1403</v>
      </c>
      <c r="G198" s="20">
        <v>491.05</v>
      </c>
      <c r="H198" s="12">
        <v>45566</v>
      </c>
    </row>
    <row r="199" spans="1:8" x14ac:dyDescent="0.25">
      <c r="A199" s="10" t="s">
        <v>44</v>
      </c>
      <c r="B199" s="10" t="s">
        <v>10</v>
      </c>
      <c r="C199" s="11" t="s">
        <v>12</v>
      </c>
      <c r="D199" s="20">
        <v>10</v>
      </c>
      <c r="E199" s="20">
        <v>15</v>
      </c>
      <c r="F199" s="16">
        <v>1743</v>
      </c>
      <c r="G199" s="20">
        <v>1307.25</v>
      </c>
      <c r="H199" s="12">
        <v>45566</v>
      </c>
    </row>
    <row r="200" spans="1:8" x14ac:dyDescent="0.25">
      <c r="A200" s="10" t="s">
        <v>44</v>
      </c>
      <c r="B200" s="10" t="s">
        <v>9</v>
      </c>
      <c r="C200" s="11" t="s">
        <v>12</v>
      </c>
      <c r="D200" s="20">
        <v>10</v>
      </c>
      <c r="E200" s="20">
        <v>15</v>
      </c>
      <c r="F200" s="16">
        <v>671</v>
      </c>
      <c r="G200" s="20">
        <v>503.25</v>
      </c>
      <c r="H200" s="12">
        <v>45566</v>
      </c>
    </row>
    <row r="201" spans="1:8" x14ac:dyDescent="0.25">
      <c r="A201" s="10" t="s">
        <v>15</v>
      </c>
      <c r="B201" s="10" t="s">
        <v>10</v>
      </c>
      <c r="C201" s="11" t="s">
        <v>12</v>
      </c>
      <c r="D201" s="20">
        <v>260</v>
      </c>
      <c r="E201" s="20">
        <v>350</v>
      </c>
      <c r="F201" s="16">
        <v>1228</v>
      </c>
      <c r="G201" s="20">
        <v>21490</v>
      </c>
      <c r="H201" s="12">
        <v>45566</v>
      </c>
    </row>
    <row r="202" spans="1:8" x14ac:dyDescent="0.25">
      <c r="A202" s="10" t="s">
        <v>15</v>
      </c>
      <c r="B202" s="10" t="s">
        <v>6</v>
      </c>
      <c r="C202" s="11" t="s">
        <v>12</v>
      </c>
      <c r="D202" s="20">
        <v>260</v>
      </c>
      <c r="E202" s="20">
        <v>350</v>
      </c>
      <c r="F202" s="16">
        <v>966</v>
      </c>
      <c r="G202" s="20">
        <v>16905</v>
      </c>
      <c r="H202" s="12">
        <v>45566</v>
      </c>
    </row>
    <row r="203" spans="1:8" x14ac:dyDescent="0.25">
      <c r="A203" s="10" t="s">
        <v>15</v>
      </c>
      <c r="B203" s="10" t="s">
        <v>9</v>
      </c>
      <c r="C203" s="11" t="s">
        <v>12</v>
      </c>
      <c r="D203" s="20">
        <v>260</v>
      </c>
      <c r="E203" s="20">
        <v>350</v>
      </c>
      <c r="F203" s="16">
        <v>727</v>
      </c>
      <c r="G203" s="20">
        <v>12722.5</v>
      </c>
      <c r="H203" s="12">
        <v>45566</v>
      </c>
    </row>
    <row r="204" spans="1:8" x14ac:dyDescent="0.25">
      <c r="A204" s="10" t="s">
        <v>15</v>
      </c>
      <c r="B204" s="10" t="s">
        <v>4</v>
      </c>
      <c r="C204" s="11" t="s">
        <v>12</v>
      </c>
      <c r="D204" s="20">
        <v>260</v>
      </c>
      <c r="E204" s="20">
        <v>350</v>
      </c>
      <c r="F204" s="16">
        <v>344</v>
      </c>
      <c r="G204" s="20">
        <v>6020</v>
      </c>
      <c r="H204" s="12">
        <v>45566</v>
      </c>
    </row>
    <row r="205" spans="1:8" x14ac:dyDescent="0.25">
      <c r="A205" s="10" t="s">
        <v>15</v>
      </c>
      <c r="B205" s="10" t="s">
        <v>7</v>
      </c>
      <c r="C205" s="11" t="s">
        <v>12</v>
      </c>
      <c r="D205" s="20">
        <v>260</v>
      </c>
      <c r="E205" s="20">
        <v>350</v>
      </c>
      <c r="F205" s="16">
        <v>2076</v>
      </c>
      <c r="G205" s="20">
        <v>36330</v>
      </c>
      <c r="H205" s="12">
        <v>45566</v>
      </c>
    </row>
    <row r="206" spans="1:8" x14ac:dyDescent="0.25">
      <c r="A206" s="10" t="s">
        <v>17</v>
      </c>
      <c r="B206" s="10" t="s">
        <v>10</v>
      </c>
      <c r="C206" s="11" t="s">
        <v>13</v>
      </c>
      <c r="D206" s="20">
        <v>3</v>
      </c>
      <c r="E206" s="20">
        <v>12</v>
      </c>
      <c r="F206" s="16">
        <v>2100</v>
      </c>
      <c r="G206" s="20">
        <v>0</v>
      </c>
      <c r="H206" s="12">
        <v>45566</v>
      </c>
    </row>
    <row r="207" spans="1:8" x14ac:dyDescent="0.25">
      <c r="A207" s="10" t="s">
        <v>17</v>
      </c>
      <c r="B207" s="10" t="s">
        <v>10</v>
      </c>
      <c r="C207" s="11" t="s">
        <v>13</v>
      </c>
      <c r="D207" s="20">
        <v>3</v>
      </c>
      <c r="E207" s="20">
        <v>12</v>
      </c>
      <c r="F207" s="16">
        <v>908</v>
      </c>
      <c r="G207" s="20">
        <v>544.80000000000007</v>
      </c>
      <c r="H207" s="12">
        <v>45566</v>
      </c>
    </row>
    <row r="208" spans="1:8" x14ac:dyDescent="0.25">
      <c r="A208" s="10" t="s">
        <v>17</v>
      </c>
      <c r="B208" s="10" t="s">
        <v>6</v>
      </c>
      <c r="C208" s="11" t="s">
        <v>13</v>
      </c>
      <c r="D208" s="20">
        <v>3</v>
      </c>
      <c r="E208" s="20">
        <v>12</v>
      </c>
      <c r="F208" s="16">
        <v>766</v>
      </c>
      <c r="G208" s="20">
        <v>45.96</v>
      </c>
      <c r="H208" s="12">
        <v>45566</v>
      </c>
    </row>
    <row r="209" spans="1:8" x14ac:dyDescent="0.25">
      <c r="A209" s="10" t="s">
        <v>17</v>
      </c>
      <c r="B209" s="10" t="s">
        <v>9</v>
      </c>
      <c r="C209" s="11" t="s">
        <v>13</v>
      </c>
      <c r="D209" s="20">
        <v>3</v>
      </c>
      <c r="E209" s="20">
        <v>12</v>
      </c>
      <c r="F209" s="16">
        <v>386</v>
      </c>
      <c r="G209" s="20">
        <v>231.60000000000002</v>
      </c>
      <c r="H209" s="12">
        <v>45566</v>
      </c>
    </row>
    <row r="210" spans="1:8" x14ac:dyDescent="0.25">
      <c r="A210" s="10" t="s">
        <v>17</v>
      </c>
      <c r="B210" s="10" t="s">
        <v>4</v>
      </c>
      <c r="C210" s="11" t="s">
        <v>13</v>
      </c>
      <c r="D210" s="20">
        <v>3</v>
      </c>
      <c r="E210" s="20">
        <v>12</v>
      </c>
      <c r="F210" s="16">
        <v>367</v>
      </c>
      <c r="G210" s="20">
        <v>220.20000000000002</v>
      </c>
      <c r="H210" s="12">
        <v>45566</v>
      </c>
    </row>
    <row r="211" spans="1:8" x14ac:dyDescent="0.25">
      <c r="A211" s="10" t="s">
        <v>17</v>
      </c>
      <c r="B211" s="10" t="s">
        <v>7</v>
      </c>
      <c r="C211" s="11" t="s">
        <v>13</v>
      </c>
      <c r="D211" s="20">
        <v>3</v>
      </c>
      <c r="E211" s="20">
        <v>12</v>
      </c>
      <c r="F211" s="16">
        <v>1198</v>
      </c>
      <c r="G211" s="20">
        <v>718.80000000000007</v>
      </c>
      <c r="H211" s="12">
        <v>45566</v>
      </c>
    </row>
    <row r="212" spans="1:8" x14ac:dyDescent="0.25">
      <c r="A212" s="10" t="s">
        <v>15</v>
      </c>
      <c r="B212" s="10" t="s">
        <v>9</v>
      </c>
      <c r="C212" s="11" t="s">
        <v>13</v>
      </c>
      <c r="D212" s="20">
        <v>5</v>
      </c>
      <c r="E212" s="20">
        <v>7</v>
      </c>
      <c r="F212" s="16">
        <v>996</v>
      </c>
      <c r="G212" s="20">
        <v>0</v>
      </c>
      <c r="H212" s="12">
        <v>45566</v>
      </c>
    </row>
    <row r="213" spans="1:8" x14ac:dyDescent="0.25">
      <c r="A213" s="10" t="s">
        <v>28</v>
      </c>
      <c r="B213" s="10" t="s">
        <v>6</v>
      </c>
      <c r="C213" s="11" t="s">
        <v>13</v>
      </c>
      <c r="D213" s="20">
        <v>250</v>
      </c>
      <c r="E213" s="20">
        <v>300</v>
      </c>
      <c r="F213" s="16">
        <v>200</v>
      </c>
      <c r="G213" s="20">
        <v>0</v>
      </c>
      <c r="H213" s="12">
        <v>45566</v>
      </c>
    </row>
    <row r="214" spans="1:8" x14ac:dyDescent="0.25">
      <c r="A214" s="10" t="s">
        <v>28</v>
      </c>
      <c r="B214" s="10" t="s">
        <v>4</v>
      </c>
      <c r="C214" s="11" t="s">
        <v>13</v>
      </c>
      <c r="D214" s="20">
        <v>250</v>
      </c>
      <c r="E214" s="20">
        <v>300</v>
      </c>
      <c r="F214" s="16">
        <v>494</v>
      </c>
      <c r="G214" s="20">
        <v>7410</v>
      </c>
      <c r="H214" s="12">
        <v>45566</v>
      </c>
    </row>
    <row r="215" spans="1:8" x14ac:dyDescent="0.25">
      <c r="A215" s="10" t="s">
        <v>17</v>
      </c>
      <c r="B215" s="10" t="s">
        <v>9</v>
      </c>
      <c r="C215" s="11" t="s">
        <v>5</v>
      </c>
      <c r="D215" s="20">
        <v>3</v>
      </c>
      <c r="E215" s="20">
        <v>12</v>
      </c>
      <c r="F215" s="16">
        <v>386</v>
      </c>
      <c r="G215" s="20">
        <v>231.60000000000002</v>
      </c>
      <c r="H215" s="12">
        <v>45566</v>
      </c>
    </row>
    <row r="216" spans="1:8" x14ac:dyDescent="0.25">
      <c r="A216" s="10" t="s">
        <v>44</v>
      </c>
      <c r="B216" s="10" t="s">
        <v>9</v>
      </c>
      <c r="C216" s="11" t="s">
        <v>5</v>
      </c>
      <c r="D216" s="20">
        <v>10</v>
      </c>
      <c r="E216" s="20">
        <v>15</v>
      </c>
      <c r="F216" s="16">
        <v>671</v>
      </c>
      <c r="G216" s="20">
        <v>503.25</v>
      </c>
      <c r="H216" s="12">
        <v>45566</v>
      </c>
    </row>
    <row r="217" spans="1:8" x14ac:dyDescent="0.25">
      <c r="A217" s="10" t="s">
        <v>15</v>
      </c>
      <c r="B217" s="10" t="s">
        <v>9</v>
      </c>
      <c r="C217" s="11" t="s">
        <v>5</v>
      </c>
      <c r="D217" s="20">
        <v>10</v>
      </c>
      <c r="E217" s="20">
        <v>20</v>
      </c>
      <c r="F217" s="16">
        <v>267</v>
      </c>
      <c r="G217" s="20">
        <v>267</v>
      </c>
      <c r="H217" s="12">
        <v>45566</v>
      </c>
    </row>
    <row r="218" spans="1:8" x14ac:dyDescent="0.25">
      <c r="A218" s="10" t="s">
        <v>15</v>
      </c>
      <c r="B218" s="10" t="s">
        <v>9</v>
      </c>
      <c r="C218" s="11" t="s">
        <v>5</v>
      </c>
      <c r="D218" s="20">
        <v>10</v>
      </c>
      <c r="E218" s="20">
        <v>20</v>
      </c>
      <c r="F218" s="16">
        <v>1421</v>
      </c>
      <c r="G218" s="20">
        <v>1421</v>
      </c>
      <c r="H218" s="12">
        <v>45566</v>
      </c>
    </row>
    <row r="219" spans="1:8" x14ac:dyDescent="0.25">
      <c r="A219" s="10" t="s">
        <v>15</v>
      </c>
      <c r="B219" s="10" t="s">
        <v>4</v>
      </c>
      <c r="C219" s="11" t="s">
        <v>5</v>
      </c>
      <c r="D219" s="20">
        <v>10</v>
      </c>
      <c r="E219" s="20">
        <v>20</v>
      </c>
      <c r="F219" s="16">
        <v>544</v>
      </c>
      <c r="G219" s="20">
        <v>108.8</v>
      </c>
      <c r="H219" s="12">
        <v>45566</v>
      </c>
    </row>
    <row r="220" spans="1:8" x14ac:dyDescent="0.25">
      <c r="A220" s="10" t="s">
        <v>17</v>
      </c>
      <c r="B220" s="10" t="s">
        <v>7</v>
      </c>
      <c r="C220" s="11" t="s">
        <v>5</v>
      </c>
      <c r="D220" s="20">
        <v>10</v>
      </c>
      <c r="E220" s="20">
        <v>20</v>
      </c>
      <c r="F220" s="16">
        <v>1033</v>
      </c>
      <c r="G220" s="20">
        <v>1033</v>
      </c>
      <c r="H220" s="12">
        <v>45566</v>
      </c>
    </row>
    <row r="221" spans="1:8" x14ac:dyDescent="0.25">
      <c r="A221" s="10" t="s">
        <v>11</v>
      </c>
      <c r="B221" s="10" t="s">
        <v>10</v>
      </c>
      <c r="C221" s="11" t="s">
        <v>5</v>
      </c>
      <c r="D221" s="20">
        <v>120</v>
      </c>
      <c r="E221" s="20">
        <v>125</v>
      </c>
      <c r="F221" s="16">
        <v>345</v>
      </c>
      <c r="G221" s="20">
        <v>0</v>
      </c>
      <c r="H221" s="12">
        <v>45566</v>
      </c>
    </row>
    <row r="222" spans="1:8" x14ac:dyDescent="0.25">
      <c r="A222" s="10" t="s">
        <v>11</v>
      </c>
      <c r="B222" s="10" t="s">
        <v>6</v>
      </c>
      <c r="C222" s="11" t="s">
        <v>5</v>
      </c>
      <c r="D222" s="20">
        <v>120</v>
      </c>
      <c r="E222" s="20">
        <v>125</v>
      </c>
      <c r="F222" s="16">
        <v>809</v>
      </c>
      <c r="G222" s="20">
        <v>0</v>
      </c>
      <c r="H222" s="12">
        <v>45566</v>
      </c>
    </row>
    <row r="223" spans="1:8" x14ac:dyDescent="0.25">
      <c r="A223" s="10" t="s">
        <v>11</v>
      </c>
      <c r="B223" s="10" t="s">
        <v>9</v>
      </c>
      <c r="C223" s="11" t="s">
        <v>5</v>
      </c>
      <c r="D223" s="20">
        <v>120</v>
      </c>
      <c r="E223" s="20">
        <v>125</v>
      </c>
      <c r="F223" s="16">
        <v>663</v>
      </c>
      <c r="G223" s="20">
        <v>4143.75</v>
      </c>
      <c r="H223" s="12">
        <v>45566</v>
      </c>
    </row>
    <row r="224" spans="1:8" x14ac:dyDescent="0.25">
      <c r="A224" s="10" t="s">
        <v>11</v>
      </c>
      <c r="B224" s="10" t="s">
        <v>4</v>
      </c>
      <c r="C224" s="11" t="s">
        <v>5</v>
      </c>
      <c r="D224" s="20">
        <v>120</v>
      </c>
      <c r="E224" s="20">
        <v>125</v>
      </c>
      <c r="F224" s="16">
        <v>2145</v>
      </c>
      <c r="G224" s="20">
        <v>13406.25</v>
      </c>
      <c r="H224" s="12">
        <v>45566</v>
      </c>
    </row>
    <row r="225" spans="1:8" x14ac:dyDescent="0.25">
      <c r="A225" s="10" t="s">
        <v>11</v>
      </c>
      <c r="B225" s="10" t="s">
        <v>7</v>
      </c>
      <c r="C225" s="11" t="s">
        <v>5</v>
      </c>
      <c r="D225" s="20">
        <v>120</v>
      </c>
      <c r="E225" s="20">
        <v>125</v>
      </c>
      <c r="F225" s="16">
        <v>704</v>
      </c>
      <c r="G225" s="20">
        <v>4400</v>
      </c>
      <c r="H225" s="12">
        <v>45566</v>
      </c>
    </row>
    <row r="226" spans="1:8" x14ac:dyDescent="0.25">
      <c r="A226" s="10" t="s">
        <v>28</v>
      </c>
      <c r="B226" s="10" t="s">
        <v>10</v>
      </c>
      <c r="C226" s="11" t="s">
        <v>5</v>
      </c>
      <c r="D226" s="20">
        <v>250</v>
      </c>
      <c r="E226" s="20">
        <v>300</v>
      </c>
      <c r="F226" s="16">
        <v>269</v>
      </c>
      <c r="G226" s="20">
        <v>4035</v>
      </c>
      <c r="H226" s="12">
        <v>45566</v>
      </c>
    </row>
    <row r="227" spans="1:8" x14ac:dyDescent="0.25">
      <c r="A227" s="10" t="s">
        <v>28</v>
      </c>
      <c r="B227" s="10" t="s">
        <v>9</v>
      </c>
      <c r="C227" s="11" t="s">
        <v>5</v>
      </c>
      <c r="D227" s="20">
        <v>250</v>
      </c>
      <c r="E227" s="20">
        <v>300</v>
      </c>
      <c r="F227" s="16">
        <v>2294</v>
      </c>
      <c r="G227" s="20">
        <v>34410</v>
      </c>
      <c r="H227" s="12">
        <v>45566</v>
      </c>
    </row>
    <row r="228" spans="1:8" x14ac:dyDescent="0.25">
      <c r="A228" s="10" t="s">
        <v>17</v>
      </c>
      <c r="B228" s="10" t="s">
        <v>7</v>
      </c>
      <c r="C228" s="11" t="s">
        <v>5</v>
      </c>
      <c r="D228" s="20">
        <v>250</v>
      </c>
      <c r="E228" s="20">
        <v>300</v>
      </c>
      <c r="F228" s="16">
        <v>1221</v>
      </c>
      <c r="G228" s="20">
        <v>18315</v>
      </c>
      <c r="H228" s="12">
        <v>45566</v>
      </c>
    </row>
    <row r="229" spans="1:8" x14ac:dyDescent="0.25">
      <c r="A229" s="10" t="s">
        <v>15</v>
      </c>
      <c r="B229" s="10" t="s">
        <v>9</v>
      </c>
      <c r="C229" s="11" t="s">
        <v>5</v>
      </c>
      <c r="D229" s="20">
        <v>260</v>
      </c>
      <c r="E229" s="20">
        <v>350</v>
      </c>
      <c r="F229" s="16">
        <v>727</v>
      </c>
      <c r="G229" s="20">
        <v>12722.5</v>
      </c>
      <c r="H229" s="12">
        <v>45566</v>
      </c>
    </row>
    <row r="230" spans="1:8" x14ac:dyDescent="0.25">
      <c r="A230" s="10" t="s">
        <v>15</v>
      </c>
      <c r="B230" s="10" t="s">
        <v>4</v>
      </c>
      <c r="C230" s="11" t="s">
        <v>5</v>
      </c>
      <c r="D230" s="20">
        <v>260</v>
      </c>
      <c r="E230" s="20">
        <v>350</v>
      </c>
      <c r="F230" s="16">
        <v>344</v>
      </c>
      <c r="G230" s="20">
        <v>6020</v>
      </c>
      <c r="H230" s="12">
        <v>45566</v>
      </c>
    </row>
    <row r="231" spans="1:8" x14ac:dyDescent="0.25">
      <c r="A231" s="10" t="s">
        <v>15</v>
      </c>
      <c r="B231" s="10" t="s">
        <v>7</v>
      </c>
      <c r="C231" s="11" t="s">
        <v>5</v>
      </c>
      <c r="D231" s="20">
        <v>260</v>
      </c>
      <c r="E231" s="20">
        <v>350</v>
      </c>
      <c r="F231" s="16">
        <v>2076</v>
      </c>
      <c r="G231" s="20">
        <v>36330</v>
      </c>
      <c r="H231" s="12">
        <v>45566</v>
      </c>
    </row>
    <row r="232" spans="1:8" x14ac:dyDescent="0.25">
      <c r="A232" s="10" t="s">
        <v>17</v>
      </c>
      <c r="B232" s="10" t="s">
        <v>6</v>
      </c>
      <c r="C232" s="11" t="s">
        <v>14</v>
      </c>
      <c r="D232" s="20">
        <v>3</v>
      </c>
      <c r="E232" s="20">
        <v>12</v>
      </c>
      <c r="F232" s="16">
        <v>766</v>
      </c>
      <c r="G232" s="20">
        <v>45.96</v>
      </c>
      <c r="H232" s="12">
        <v>45566</v>
      </c>
    </row>
    <row r="233" spans="1:8" x14ac:dyDescent="0.25">
      <c r="A233" s="10" t="s">
        <v>15</v>
      </c>
      <c r="B233" s="10" t="s">
        <v>10</v>
      </c>
      <c r="C233" s="11" t="s">
        <v>14</v>
      </c>
      <c r="D233" s="20">
        <v>5</v>
      </c>
      <c r="E233" s="20">
        <v>7</v>
      </c>
      <c r="F233" s="16">
        <v>900</v>
      </c>
      <c r="G233" s="20">
        <v>315</v>
      </c>
      <c r="H233" s="12">
        <v>45566</v>
      </c>
    </row>
    <row r="234" spans="1:8" x14ac:dyDescent="0.25">
      <c r="A234" s="10" t="s">
        <v>15</v>
      </c>
      <c r="B234" s="10" t="s">
        <v>6</v>
      </c>
      <c r="C234" s="11" t="s">
        <v>14</v>
      </c>
      <c r="D234" s="20">
        <v>5</v>
      </c>
      <c r="E234" s="20">
        <v>7</v>
      </c>
      <c r="F234" s="16">
        <v>1159</v>
      </c>
      <c r="G234" s="20">
        <v>405.65000000000003</v>
      </c>
      <c r="H234" s="12">
        <v>45566</v>
      </c>
    </row>
    <row r="235" spans="1:8" x14ac:dyDescent="0.25">
      <c r="A235" s="10" t="s">
        <v>15</v>
      </c>
      <c r="B235" s="10" t="s">
        <v>9</v>
      </c>
      <c r="C235" s="11" t="s">
        <v>14</v>
      </c>
      <c r="D235" s="20">
        <v>5</v>
      </c>
      <c r="E235" s="20">
        <v>7</v>
      </c>
      <c r="F235" s="16">
        <v>600</v>
      </c>
      <c r="G235" s="20">
        <v>0</v>
      </c>
      <c r="H235" s="12">
        <v>45566</v>
      </c>
    </row>
    <row r="236" spans="1:8" x14ac:dyDescent="0.25">
      <c r="A236" s="10" t="s">
        <v>28</v>
      </c>
      <c r="B236" s="10" t="s">
        <v>4</v>
      </c>
      <c r="C236" s="11" t="s">
        <v>14</v>
      </c>
      <c r="D236" s="20">
        <v>5</v>
      </c>
      <c r="E236" s="20">
        <v>7</v>
      </c>
      <c r="F236" s="16">
        <v>1727</v>
      </c>
      <c r="G236" s="20">
        <v>604.45000000000005</v>
      </c>
      <c r="H236" s="12">
        <v>45566</v>
      </c>
    </row>
    <row r="237" spans="1:8" x14ac:dyDescent="0.25">
      <c r="A237" s="10" t="s">
        <v>17</v>
      </c>
      <c r="B237" s="10" t="s">
        <v>7</v>
      </c>
      <c r="C237" s="11" t="s">
        <v>14</v>
      </c>
      <c r="D237" s="20">
        <v>5</v>
      </c>
      <c r="E237" s="20">
        <v>7</v>
      </c>
      <c r="F237" s="16">
        <v>1403</v>
      </c>
      <c r="G237" s="20">
        <v>491.05</v>
      </c>
      <c r="H237" s="12">
        <v>45566</v>
      </c>
    </row>
    <row r="238" spans="1:8" x14ac:dyDescent="0.25">
      <c r="A238" s="10" t="s">
        <v>44</v>
      </c>
      <c r="B238" s="10" t="s">
        <v>6</v>
      </c>
      <c r="C238" s="11" t="s">
        <v>14</v>
      </c>
      <c r="D238" s="20">
        <v>10</v>
      </c>
      <c r="E238" s="20">
        <v>15</v>
      </c>
      <c r="F238" s="16">
        <v>1945</v>
      </c>
      <c r="G238" s="20">
        <v>1458.75</v>
      </c>
      <c r="H238" s="12">
        <v>45566</v>
      </c>
    </row>
    <row r="239" spans="1:8" x14ac:dyDescent="0.25">
      <c r="A239" s="10" t="s">
        <v>15</v>
      </c>
      <c r="B239" s="10" t="s">
        <v>6</v>
      </c>
      <c r="C239" s="11" t="s">
        <v>14</v>
      </c>
      <c r="D239" s="20">
        <v>10</v>
      </c>
      <c r="E239" s="20">
        <v>20</v>
      </c>
      <c r="F239" s="16">
        <v>500</v>
      </c>
      <c r="G239" s="20">
        <v>500</v>
      </c>
      <c r="H239" s="12">
        <v>45566</v>
      </c>
    </row>
    <row r="240" spans="1:8" x14ac:dyDescent="0.25">
      <c r="A240" s="10" t="s">
        <v>15</v>
      </c>
      <c r="B240" s="10" t="s">
        <v>6</v>
      </c>
      <c r="C240" s="11" t="s">
        <v>14</v>
      </c>
      <c r="D240" s="20">
        <v>10</v>
      </c>
      <c r="E240" s="20">
        <v>20</v>
      </c>
      <c r="F240" s="16">
        <v>992</v>
      </c>
      <c r="G240" s="20">
        <v>992</v>
      </c>
      <c r="H240" s="12">
        <v>45566</v>
      </c>
    </row>
    <row r="241" spans="1:8" x14ac:dyDescent="0.25">
      <c r="A241" s="10" t="s">
        <v>28</v>
      </c>
      <c r="B241" s="10" t="s">
        <v>4</v>
      </c>
      <c r="C241" s="11" t="s">
        <v>14</v>
      </c>
      <c r="D241" s="20">
        <v>10</v>
      </c>
      <c r="E241" s="20">
        <v>20</v>
      </c>
      <c r="F241" s="16">
        <v>1715</v>
      </c>
      <c r="G241" s="20">
        <v>1715</v>
      </c>
      <c r="H241" s="12">
        <v>45566</v>
      </c>
    </row>
    <row r="242" spans="1:8" x14ac:dyDescent="0.25">
      <c r="A242" s="10" t="s">
        <v>15</v>
      </c>
      <c r="B242" s="10" t="s">
        <v>7</v>
      </c>
      <c r="C242" s="11" t="s">
        <v>14</v>
      </c>
      <c r="D242" s="20">
        <v>10</v>
      </c>
      <c r="E242" s="20">
        <v>20</v>
      </c>
      <c r="F242" s="16">
        <v>1757</v>
      </c>
      <c r="G242" s="20">
        <v>1757</v>
      </c>
      <c r="H242" s="12">
        <v>45566</v>
      </c>
    </row>
    <row r="243" spans="1:8" x14ac:dyDescent="0.25">
      <c r="A243" s="10" t="s">
        <v>11</v>
      </c>
      <c r="B243" s="10" t="s">
        <v>10</v>
      </c>
      <c r="C243" s="11" t="s">
        <v>14</v>
      </c>
      <c r="D243" s="20">
        <v>120</v>
      </c>
      <c r="E243" s="20">
        <v>125</v>
      </c>
      <c r="F243" s="16">
        <v>345</v>
      </c>
      <c r="G243" s="20">
        <v>0</v>
      </c>
      <c r="H243" s="12">
        <v>45566</v>
      </c>
    </row>
    <row r="244" spans="1:8" x14ac:dyDescent="0.25">
      <c r="A244" s="10" t="s">
        <v>11</v>
      </c>
      <c r="B244" s="10" t="s">
        <v>9</v>
      </c>
      <c r="C244" s="11" t="s">
        <v>14</v>
      </c>
      <c r="D244" s="20">
        <v>120</v>
      </c>
      <c r="E244" s="20">
        <v>125</v>
      </c>
      <c r="F244" s="16">
        <v>663</v>
      </c>
      <c r="G244" s="20">
        <v>4143.75</v>
      </c>
      <c r="H244" s="12">
        <v>45566</v>
      </c>
    </row>
    <row r="245" spans="1:8" x14ac:dyDescent="0.25">
      <c r="A245" s="10" t="s">
        <v>17</v>
      </c>
      <c r="B245" s="10" t="s">
        <v>10</v>
      </c>
      <c r="C245" s="11" t="s">
        <v>8</v>
      </c>
      <c r="D245" s="20">
        <v>3</v>
      </c>
      <c r="E245" s="20">
        <v>12</v>
      </c>
      <c r="F245" s="16">
        <v>2299</v>
      </c>
      <c r="G245" s="20">
        <v>0</v>
      </c>
      <c r="H245" s="12">
        <v>45566</v>
      </c>
    </row>
    <row r="246" spans="1:8" x14ac:dyDescent="0.25">
      <c r="A246" s="10" t="s">
        <v>17</v>
      </c>
      <c r="B246" s="10" t="s">
        <v>4</v>
      </c>
      <c r="C246" s="11" t="s">
        <v>8</v>
      </c>
      <c r="D246" s="20">
        <v>3</v>
      </c>
      <c r="E246" s="20">
        <v>12</v>
      </c>
      <c r="F246" s="16">
        <v>367</v>
      </c>
      <c r="G246" s="20">
        <v>220.20000000000002</v>
      </c>
      <c r="H246" s="12">
        <v>45566</v>
      </c>
    </row>
    <row r="247" spans="1:8" x14ac:dyDescent="0.25">
      <c r="A247" s="10" t="s">
        <v>17</v>
      </c>
      <c r="B247" s="10" t="s">
        <v>7</v>
      </c>
      <c r="C247" s="11" t="s">
        <v>8</v>
      </c>
      <c r="D247" s="20">
        <v>3</v>
      </c>
      <c r="E247" s="20">
        <v>12</v>
      </c>
      <c r="F247" s="16">
        <v>1198</v>
      </c>
      <c r="G247" s="20">
        <v>718.80000000000007</v>
      </c>
      <c r="H247" s="12">
        <v>45566</v>
      </c>
    </row>
    <row r="248" spans="1:8" x14ac:dyDescent="0.25">
      <c r="A248" s="10" t="s">
        <v>15</v>
      </c>
      <c r="B248" s="10" t="s">
        <v>4</v>
      </c>
      <c r="C248" s="11" t="s">
        <v>8</v>
      </c>
      <c r="D248" s="20">
        <v>5</v>
      </c>
      <c r="E248" s="20">
        <v>7</v>
      </c>
      <c r="F248" s="16">
        <v>946</v>
      </c>
      <c r="G248" s="20">
        <v>331.1</v>
      </c>
      <c r="H248" s="12">
        <v>45566</v>
      </c>
    </row>
    <row r="249" spans="1:8" x14ac:dyDescent="0.25">
      <c r="A249" s="10" t="s">
        <v>15</v>
      </c>
      <c r="B249" s="10" t="s">
        <v>7</v>
      </c>
      <c r="C249" s="11" t="s">
        <v>8</v>
      </c>
      <c r="D249" s="20">
        <v>5</v>
      </c>
      <c r="E249" s="20">
        <v>7</v>
      </c>
      <c r="F249" s="16">
        <v>2136</v>
      </c>
      <c r="G249" s="20">
        <v>747.6</v>
      </c>
      <c r="H249" s="12">
        <v>45566</v>
      </c>
    </row>
    <row r="250" spans="1:8" x14ac:dyDescent="0.25">
      <c r="A250" s="10" t="s">
        <v>44</v>
      </c>
      <c r="B250" s="10" t="s">
        <v>10</v>
      </c>
      <c r="C250" s="11" t="s">
        <v>8</v>
      </c>
      <c r="D250" s="20">
        <v>10</v>
      </c>
      <c r="E250" s="20">
        <v>15</v>
      </c>
      <c r="F250" s="16">
        <v>1743</v>
      </c>
      <c r="G250" s="20">
        <v>1307.25</v>
      </c>
      <c r="H250" s="12">
        <v>45566</v>
      </c>
    </row>
    <row r="251" spans="1:8" x14ac:dyDescent="0.25">
      <c r="A251" s="10" t="s">
        <v>15</v>
      </c>
      <c r="B251" s="10" t="s">
        <v>10</v>
      </c>
      <c r="C251" s="11" t="s">
        <v>8</v>
      </c>
      <c r="D251" s="20">
        <v>10</v>
      </c>
      <c r="E251" s="20">
        <v>20</v>
      </c>
      <c r="F251" s="16">
        <v>1389</v>
      </c>
      <c r="G251" s="20">
        <v>1389</v>
      </c>
      <c r="H251" s="12">
        <v>45566</v>
      </c>
    </row>
    <row r="252" spans="1:8" x14ac:dyDescent="0.25">
      <c r="A252" s="10" t="s">
        <v>15</v>
      </c>
      <c r="B252" s="10" t="s">
        <v>9</v>
      </c>
      <c r="C252" s="11" t="s">
        <v>8</v>
      </c>
      <c r="D252" s="20">
        <v>10</v>
      </c>
      <c r="E252" s="20">
        <v>20</v>
      </c>
      <c r="F252" s="16">
        <v>180</v>
      </c>
      <c r="G252" s="20">
        <v>0</v>
      </c>
      <c r="H252" s="12">
        <v>45566</v>
      </c>
    </row>
    <row r="253" spans="1:8" x14ac:dyDescent="0.25">
      <c r="A253" s="10" t="s">
        <v>44</v>
      </c>
      <c r="B253" s="10" t="s">
        <v>4</v>
      </c>
      <c r="C253" s="11" t="s">
        <v>8</v>
      </c>
      <c r="D253" s="20">
        <v>10</v>
      </c>
      <c r="E253" s="20">
        <v>15</v>
      </c>
      <c r="F253" s="16">
        <v>1514</v>
      </c>
      <c r="G253" s="20">
        <v>1135.5</v>
      </c>
      <c r="H253" s="12">
        <v>45566</v>
      </c>
    </row>
    <row r="254" spans="1:8" x14ac:dyDescent="0.25">
      <c r="A254" s="10" t="s">
        <v>28</v>
      </c>
      <c r="B254" s="10" t="s">
        <v>4</v>
      </c>
      <c r="C254" s="11" t="s">
        <v>8</v>
      </c>
      <c r="D254" s="20">
        <v>10</v>
      </c>
      <c r="E254" s="20">
        <v>20</v>
      </c>
      <c r="F254" s="16">
        <v>1715</v>
      </c>
      <c r="G254" s="20">
        <v>1715</v>
      </c>
      <c r="H254" s="12">
        <v>45566</v>
      </c>
    </row>
    <row r="255" spans="1:8" x14ac:dyDescent="0.25">
      <c r="A255" s="10" t="s">
        <v>44</v>
      </c>
      <c r="B255" s="10" t="s">
        <v>7</v>
      </c>
      <c r="C255" s="11" t="s">
        <v>8</v>
      </c>
      <c r="D255" s="20">
        <v>10</v>
      </c>
      <c r="E255" s="20">
        <v>15</v>
      </c>
      <c r="F255" s="16">
        <v>2167</v>
      </c>
      <c r="G255" s="20">
        <v>1625.25</v>
      </c>
      <c r="H255" s="12">
        <v>45566</v>
      </c>
    </row>
    <row r="256" spans="1:8" x14ac:dyDescent="0.25">
      <c r="A256" s="10" t="s">
        <v>17</v>
      </c>
      <c r="B256" s="10" t="s">
        <v>7</v>
      </c>
      <c r="C256" s="11" t="s">
        <v>8</v>
      </c>
      <c r="D256" s="20">
        <v>10</v>
      </c>
      <c r="E256" s="20">
        <v>20</v>
      </c>
      <c r="F256" s="16">
        <v>120</v>
      </c>
      <c r="G256" s="20">
        <v>120</v>
      </c>
      <c r="H256" s="12">
        <v>45566</v>
      </c>
    </row>
    <row r="257" spans="1:8" x14ac:dyDescent="0.25">
      <c r="A257" s="10" t="s">
        <v>11</v>
      </c>
      <c r="B257" s="10" t="s">
        <v>4</v>
      </c>
      <c r="C257" s="11" t="s">
        <v>8</v>
      </c>
      <c r="D257" s="20">
        <v>120</v>
      </c>
      <c r="E257" s="20">
        <v>125</v>
      </c>
      <c r="F257" s="16">
        <v>2145</v>
      </c>
      <c r="G257" s="20">
        <v>13406.25</v>
      </c>
      <c r="H257" s="12">
        <v>45566</v>
      </c>
    </row>
    <row r="258" spans="1:8" x14ac:dyDescent="0.25">
      <c r="A258" s="10" t="s">
        <v>11</v>
      </c>
      <c r="B258" s="10" t="s">
        <v>7</v>
      </c>
      <c r="C258" s="11" t="s">
        <v>8</v>
      </c>
      <c r="D258" s="20">
        <v>120</v>
      </c>
      <c r="E258" s="20">
        <v>125</v>
      </c>
      <c r="F258" s="16">
        <v>704</v>
      </c>
      <c r="G258" s="20">
        <v>0</v>
      </c>
      <c r="H258" s="12">
        <v>45566</v>
      </c>
    </row>
    <row r="259" spans="1:8" x14ac:dyDescent="0.25">
      <c r="A259" s="10" t="s">
        <v>17</v>
      </c>
      <c r="B259" s="10" t="s">
        <v>9</v>
      </c>
      <c r="C259" s="11" t="s">
        <v>8</v>
      </c>
      <c r="D259" s="20">
        <v>250</v>
      </c>
      <c r="E259" s="20">
        <v>300</v>
      </c>
      <c r="F259" s="16">
        <v>2500</v>
      </c>
      <c r="G259" s="20">
        <v>37500</v>
      </c>
      <c r="H259" s="12">
        <v>45566</v>
      </c>
    </row>
    <row r="260" spans="1:8" x14ac:dyDescent="0.25">
      <c r="A260" s="10" t="s">
        <v>15</v>
      </c>
      <c r="B260" s="10" t="s">
        <v>10</v>
      </c>
      <c r="C260" s="11" t="s">
        <v>8</v>
      </c>
      <c r="D260" s="20">
        <v>260</v>
      </c>
      <c r="E260" s="20">
        <v>350</v>
      </c>
      <c r="F260" s="16">
        <v>1228</v>
      </c>
      <c r="G260" s="20">
        <v>21490</v>
      </c>
      <c r="H260" s="12">
        <v>45566</v>
      </c>
    </row>
    <row r="261" spans="1:8" x14ac:dyDescent="0.25">
      <c r="A261" s="10" t="s">
        <v>15</v>
      </c>
      <c r="B261" s="10" t="s">
        <v>9</v>
      </c>
      <c r="C261" s="11" t="s">
        <v>8</v>
      </c>
      <c r="D261" s="20">
        <v>260</v>
      </c>
      <c r="E261" s="20">
        <v>350</v>
      </c>
      <c r="F261" s="16">
        <v>266</v>
      </c>
      <c r="G261" s="20">
        <v>4655</v>
      </c>
      <c r="H261" s="12">
        <v>45566</v>
      </c>
    </row>
    <row r="262" spans="1:8" x14ac:dyDescent="0.25">
      <c r="A262" s="10" t="s">
        <v>15</v>
      </c>
      <c r="B262" s="10" t="s">
        <v>10</v>
      </c>
      <c r="C262" s="11" t="s">
        <v>16</v>
      </c>
      <c r="D262" s="20">
        <v>10</v>
      </c>
      <c r="E262" s="20">
        <v>20</v>
      </c>
      <c r="F262" s="16">
        <v>1389</v>
      </c>
      <c r="G262" s="20">
        <v>1389</v>
      </c>
      <c r="H262" s="12">
        <v>45566</v>
      </c>
    </row>
    <row r="263" spans="1:8" x14ac:dyDescent="0.25">
      <c r="A263" s="10" t="s">
        <v>44</v>
      </c>
      <c r="B263" s="10" t="s">
        <v>6</v>
      </c>
      <c r="C263" s="11" t="s">
        <v>16</v>
      </c>
      <c r="D263" s="20">
        <v>10</v>
      </c>
      <c r="E263" s="20">
        <v>15</v>
      </c>
      <c r="F263" s="16">
        <v>1945</v>
      </c>
      <c r="G263" s="20">
        <v>1458.75</v>
      </c>
      <c r="H263" s="12">
        <v>45566</v>
      </c>
    </row>
    <row r="264" spans="1:8" x14ac:dyDescent="0.25">
      <c r="A264" s="10" t="s">
        <v>44</v>
      </c>
      <c r="B264" s="10" t="s">
        <v>4</v>
      </c>
      <c r="C264" s="11" t="s">
        <v>16</v>
      </c>
      <c r="D264" s="20">
        <v>10</v>
      </c>
      <c r="E264" s="20">
        <v>15</v>
      </c>
      <c r="F264" s="16">
        <v>1514</v>
      </c>
      <c r="G264" s="20">
        <v>1135.5</v>
      </c>
      <c r="H264" s="12">
        <v>45566</v>
      </c>
    </row>
    <row r="265" spans="1:8" x14ac:dyDescent="0.25">
      <c r="A265" s="10" t="s">
        <v>44</v>
      </c>
      <c r="B265" s="10" t="s">
        <v>7</v>
      </c>
      <c r="C265" s="11" t="s">
        <v>16</v>
      </c>
      <c r="D265" s="20">
        <v>10</v>
      </c>
      <c r="E265" s="20">
        <v>15</v>
      </c>
      <c r="F265" s="16">
        <v>2167</v>
      </c>
      <c r="G265" s="20">
        <v>1625.25</v>
      </c>
      <c r="H265" s="12">
        <v>45566</v>
      </c>
    </row>
    <row r="266" spans="1:8" x14ac:dyDescent="0.25">
      <c r="A266" s="10" t="s">
        <v>28</v>
      </c>
      <c r="B266" s="10" t="s">
        <v>10</v>
      </c>
      <c r="C266" s="11" t="s">
        <v>16</v>
      </c>
      <c r="D266" s="20">
        <v>250</v>
      </c>
      <c r="E266" s="20">
        <v>300</v>
      </c>
      <c r="F266" s="16">
        <v>140</v>
      </c>
      <c r="G266" s="20">
        <v>0</v>
      </c>
      <c r="H266" s="12">
        <v>45566</v>
      </c>
    </row>
    <row r="267" spans="1:8" x14ac:dyDescent="0.25">
      <c r="A267" s="10" t="s">
        <v>28</v>
      </c>
      <c r="B267" s="10" t="s">
        <v>6</v>
      </c>
      <c r="C267" s="11" t="s">
        <v>16</v>
      </c>
      <c r="D267" s="20">
        <v>250</v>
      </c>
      <c r="E267" s="20">
        <v>300</v>
      </c>
      <c r="F267" s="16">
        <v>214</v>
      </c>
      <c r="G267" s="20">
        <v>3210</v>
      </c>
      <c r="H267" s="12">
        <v>45566</v>
      </c>
    </row>
    <row r="268" spans="1:8" x14ac:dyDescent="0.25">
      <c r="A268" s="10" t="s">
        <v>28</v>
      </c>
      <c r="B268" s="10" t="s">
        <v>4</v>
      </c>
      <c r="C268" s="11" t="s">
        <v>16</v>
      </c>
      <c r="D268" s="20">
        <v>250</v>
      </c>
      <c r="E268" s="20">
        <v>300</v>
      </c>
      <c r="F268" s="16">
        <v>494</v>
      </c>
      <c r="G268" s="20">
        <v>7410</v>
      </c>
      <c r="H268" s="12">
        <v>45566</v>
      </c>
    </row>
    <row r="269" spans="1:8" x14ac:dyDescent="0.25">
      <c r="A269" s="10" t="s">
        <v>11</v>
      </c>
      <c r="B269" s="10" t="s">
        <v>7</v>
      </c>
      <c r="C269" s="11" t="s">
        <v>16</v>
      </c>
      <c r="D269" s="20">
        <v>250</v>
      </c>
      <c r="E269" s="20">
        <v>300</v>
      </c>
      <c r="F269" s="16">
        <v>1221</v>
      </c>
      <c r="G269" s="20">
        <v>18315</v>
      </c>
      <c r="H269" s="12">
        <v>45566</v>
      </c>
    </row>
    <row r="270" spans="1:8" x14ac:dyDescent="0.25">
      <c r="A270" s="10" t="s">
        <v>28</v>
      </c>
      <c r="B270" s="10" t="s">
        <v>4</v>
      </c>
      <c r="C270" s="11" t="s">
        <v>16</v>
      </c>
      <c r="D270" s="20">
        <v>260</v>
      </c>
      <c r="E270" s="20">
        <v>350</v>
      </c>
      <c r="F270" s="16">
        <v>1940</v>
      </c>
      <c r="G270" s="20">
        <v>33950</v>
      </c>
      <c r="H270" s="12">
        <v>45566</v>
      </c>
    </row>
    <row r="271" spans="1:8" x14ac:dyDescent="0.25">
      <c r="A271" s="10" t="s">
        <v>17</v>
      </c>
      <c r="B271" s="10" t="s">
        <v>7</v>
      </c>
      <c r="C271" s="11" t="s">
        <v>16</v>
      </c>
      <c r="D271" s="20">
        <v>260</v>
      </c>
      <c r="E271" s="20">
        <v>350</v>
      </c>
      <c r="F271" s="16">
        <v>1281</v>
      </c>
      <c r="G271" s="20">
        <v>22417.5</v>
      </c>
      <c r="H271" s="12">
        <v>45566</v>
      </c>
    </row>
    <row r="272" spans="1:8" x14ac:dyDescent="0.25">
      <c r="A272" s="10" t="s">
        <v>17</v>
      </c>
      <c r="B272" s="10" t="s">
        <v>6</v>
      </c>
      <c r="C272" s="11" t="s">
        <v>12</v>
      </c>
      <c r="D272" s="20">
        <v>3</v>
      </c>
      <c r="E272" s="20">
        <v>12</v>
      </c>
      <c r="F272" s="16">
        <v>1770</v>
      </c>
      <c r="G272" s="20">
        <v>1062</v>
      </c>
      <c r="H272" s="12">
        <v>45597</v>
      </c>
    </row>
    <row r="273" spans="1:8" x14ac:dyDescent="0.25">
      <c r="A273" s="10" t="s">
        <v>17</v>
      </c>
      <c r="B273" s="10" t="s">
        <v>9</v>
      </c>
      <c r="C273" s="11" t="s">
        <v>12</v>
      </c>
      <c r="D273" s="20">
        <v>3</v>
      </c>
      <c r="E273" s="20">
        <v>12</v>
      </c>
      <c r="F273" s="16">
        <v>2015</v>
      </c>
      <c r="G273" s="20">
        <v>1209</v>
      </c>
      <c r="H273" s="12">
        <v>45597</v>
      </c>
    </row>
    <row r="274" spans="1:8" x14ac:dyDescent="0.25">
      <c r="A274" s="10" t="s">
        <v>17</v>
      </c>
      <c r="B274" s="10" t="s">
        <v>4</v>
      </c>
      <c r="C274" s="11" t="s">
        <v>12</v>
      </c>
      <c r="D274" s="20">
        <v>3</v>
      </c>
      <c r="E274" s="20">
        <v>12</v>
      </c>
      <c r="F274" s="16">
        <v>1375</v>
      </c>
      <c r="G274" s="20">
        <v>825</v>
      </c>
      <c r="H274" s="12">
        <v>45597</v>
      </c>
    </row>
    <row r="275" spans="1:8" x14ac:dyDescent="0.25">
      <c r="A275" s="10" t="s">
        <v>44</v>
      </c>
      <c r="B275" s="10" t="s">
        <v>10</v>
      </c>
      <c r="C275" s="11" t="s">
        <v>12</v>
      </c>
      <c r="D275" s="20">
        <v>10</v>
      </c>
      <c r="E275" s="20">
        <v>15</v>
      </c>
      <c r="F275" s="16">
        <v>1560</v>
      </c>
      <c r="G275" s="20">
        <v>1170</v>
      </c>
      <c r="H275" s="12">
        <v>45597</v>
      </c>
    </row>
    <row r="276" spans="1:8" x14ac:dyDescent="0.25">
      <c r="A276" s="10" t="s">
        <v>44</v>
      </c>
      <c r="B276" s="10" t="s">
        <v>6</v>
      </c>
      <c r="C276" s="11" t="s">
        <v>12</v>
      </c>
      <c r="D276" s="20">
        <v>10</v>
      </c>
      <c r="E276" s="20">
        <v>15</v>
      </c>
      <c r="F276" s="16">
        <v>970</v>
      </c>
      <c r="G276" s="20">
        <v>727.5</v>
      </c>
      <c r="H276" s="12">
        <v>45597</v>
      </c>
    </row>
    <row r="277" spans="1:8" x14ac:dyDescent="0.25">
      <c r="A277" s="10" t="s">
        <v>44</v>
      </c>
      <c r="B277" s="10" t="s">
        <v>9</v>
      </c>
      <c r="C277" s="11" t="s">
        <v>12</v>
      </c>
      <c r="D277" s="20">
        <v>10</v>
      </c>
      <c r="E277" s="20">
        <v>15</v>
      </c>
      <c r="F277" s="16">
        <v>2548</v>
      </c>
      <c r="G277" s="20">
        <v>0</v>
      </c>
      <c r="H277" s="12">
        <v>45597</v>
      </c>
    </row>
    <row r="278" spans="1:8" x14ac:dyDescent="0.25">
      <c r="A278" s="10" t="s">
        <v>44</v>
      </c>
      <c r="B278" s="10" t="s">
        <v>4</v>
      </c>
      <c r="C278" s="11" t="s">
        <v>12</v>
      </c>
      <c r="D278" s="20">
        <v>10</v>
      </c>
      <c r="E278" s="20">
        <v>15</v>
      </c>
      <c r="F278" s="16">
        <v>1870</v>
      </c>
      <c r="G278" s="20">
        <v>1402.5</v>
      </c>
      <c r="H278" s="12">
        <v>45597</v>
      </c>
    </row>
    <row r="279" spans="1:8" x14ac:dyDescent="0.25">
      <c r="A279" s="10" t="s">
        <v>44</v>
      </c>
      <c r="B279" s="10" t="s">
        <v>7</v>
      </c>
      <c r="C279" s="11" t="s">
        <v>12</v>
      </c>
      <c r="D279" s="20">
        <v>10</v>
      </c>
      <c r="E279" s="20">
        <v>15</v>
      </c>
      <c r="F279" s="16">
        <v>321</v>
      </c>
      <c r="G279" s="20">
        <v>24.074999999999999</v>
      </c>
      <c r="H279" s="12">
        <v>45597</v>
      </c>
    </row>
    <row r="280" spans="1:8" x14ac:dyDescent="0.25">
      <c r="A280" s="10" t="s">
        <v>11</v>
      </c>
      <c r="B280" s="10" t="s">
        <v>6</v>
      </c>
      <c r="C280" s="11" t="s">
        <v>12</v>
      </c>
      <c r="D280" s="20">
        <v>120</v>
      </c>
      <c r="E280" s="20">
        <v>125</v>
      </c>
      <c r="F280" s="16">
        <v>994</v>
      </c>
      <c r="G280" s="20">
        <v>6212.5</v>
      </c>
      <c r="H280" s="12">
        <v>45597</v>
      </c>
    </row>
    <row r="281" spans="1:8" x14ac:dyDescent="0.25">
      <c r="A281" s="10" t="s">
        <v>11</v>
      </c>
      <c r="B281" s="10" t="s">
        <v>4</v>
      </c>
      <c r="C281" s="11" t="s">
        <v>12</v>
      </c>
      <c r="D281" s="20">
        <v>120</v>
      </c>
      <c r="E281" s="20">
        <v>125</v>
      </c>
      <c r="F281" s="16">
        <v>947</v>
      </c>
      <c r="G281" s="20">
        <v>5918.75</v>
      </c>
      <c r="H281" s="12">
        <v>45597</v>
      </c>
    </row>
    <row r="282" spans="1:8" x14ac:dyDescent="0.25">
      <c r="A282" s="10" t="s">
        <v>17</v>
      </c>
      <c r="B282" s="10" t="s">
        <v>10</v>
      </c>
      <c r="C282" s="11" t="s">
        <v>13</v>
      </c>
      <c r="D282" s="20">
        <v>3</v>
      </c>
      <c r="E282" s="20">
        <v>12</v>
      </c>
      <c r="F282" s="16">
        <v>908</v>
      </c>
      <c r="G282" s="20">
        <v>544.80000000000007</v>
      </c>
      <c r="H282" s="12">
        <v>45597</v>
      </c>
    </row>
    <row r="283" spans="1:8" x14ac:dyDescent="0.25">
      <c r="A283" s="10" t="s">
        <v>15</v>
      </c>
      <c r="B283" s="10" t="s">
        <v>6</v>
      </c>
      <c r="C283" s="11" t="s">
        <v>13</v>
      </c>
      <c r="D283" s="20">
        <v>5</v>
      </c>
      <c r="E283" s="20">
        <v>7</v>
      </c>
      <c r="F283" s="16">
        <v>1016</v>
      </c>
      <c r="G283" s="20">
        <v>355.6</v>
      </c>
      <c r="H283" s="12">
        <v>45597</v>
      </c>
    </row>
    <row r="284" spans="1:8" x14ac:dyDescent="0.25">
      <c r="A284" s="10" t="s">
        <v>15</v>
      </c>
      <c r="B284" s="10" t="s">
        <v>9</v>
      </c>
      <c r="C284" s="11" t="s">
        <v>13</v>
      </c>
      <c r="D284" s="20">
        <v>5</v>
      </c>
      <c r="E284" s="20">
        <v>7</v>
      </c>
      <c r="F284" s="16">
        <v>263</v>
      </c>
      <c r="G284" s="20">
        <v>55.23</v>
      </c>
      <c r="H284" s="12">
        <v>45597</v>
      </c>
    </row>
    <row r="285" spans="1:8" x14ac:dyDescent="0.25">
      <c r="A285" s="10" t="s">
        <v>15</v>
      </c>
      <c r="B285" s="10" t="s">
        <v>4</v>
      </c>
      <c r="C285" s="11" t="s">
        <v>13</v>
      </c>
      <c r="D285" s="20">
        <v>5</v>
      </c>
      <c r="E285" s="20">
        <v>7</v>
      </c>
      <c r="F285" s="16">
        <v>700</v>
      </c>
      <c r="G285" s="20">
        <v>245</v>
      </c>
      <c r="H285" s="12">
        <v>45597</v>
      </c>
    </row>
    <row r="286" spans="1:8" x14ac:dyDescent="0.25">
      <c r="A286" s="10" t="s">
        <v>17</v>
      </c>
      <c r="B286" s="10" t="s">
        <v>7</v>
      </c>
      <c r="C286" s="11" t="s">
        <v>13</v>
      </c>
      <c r="D286" s="20">
        <v>5</v>
      </c>
      <c r="E286" s="20">
        <v>7</v>
      </c>
      <c r="F286" s="16">
        <v>145</v>
      </c>
      <c r="G286" s="20">
        <v>0</v>
      </c>
      <c r="H286" s="12">
        <v>45597</v>
      </c>
    </row>
    <row r="287" spans="1:8" x14ac:dyDescent="0.25">
      <c r="A287" s="10" t="s">
        <v>11</v>
      </c>
      <c r="B287" s="10" t="s">
        <v>9</v>
      </c>
      <c r="C287" s="11" t="s">
        <v>13</v>
      </c>
      <c r="D287" s="20">
        <v>120</v>
      </c>
      <c r="E287" s="20">
        <v>125</v>
      </c>
      <c r="F287" s="16">
        <v>330</v>
      </c>
      <c r="G287" s="20">
        <v>2062.5</v>
      </c>
      <c r="H287" s="12">
        <v>45597</v>
      </c>
    </row>
    <row r="288" spans="1:8" x14ac:dyDescent="0.25">
      <c r="A288" s="10" t="s">
        <v>17</v>
      </c>
      <c r="B288" s="10" t="s">
        <v>9</v>
      </c>
      <c r="C288" s="11" t="s">
        <v>5</v>
      </c>
      <c r="D288" s="20">
        <v>3</v>
      </c>
      <c r="E288" s="20">
        <v>12</v>
      </c>
      <c r="F288" s="16">
        <v>912</v>
      </c>
      <c r="G288" s="20">
        <v>0</v>
      </c>
      <c r="H288" s="12">
        <v>45597</v>
      </c>
    </row>
    <row r="289" spans="1:8" x14ac:dyDescent="0.25">
      <c r="A289" s="10" t="s">
        <v>15</v>
      </c>
      <c r="B289" s="10" t="s">
        <v>10</v>
      </c>
      <c r="C289" s="11" t="s">
        <v>5</v>
      </c>
      <c r="D289" s="20">
        <v>5</v>
      </c>
      <c r="E289" s="20">
        <v>7</v>
      </c>
      <c r="F289" s="16">
        <v>2092</v>
      </c>
      <c r="G289" s="20">
        <v>73.22</v>
      </c>
      <c r="H289" s="12">
        <v>45597</v>
      </c>
    </row>
    <row r="290" spans="1:8" x14ac:dyDescent="0.25">
      <c r="A290" s="10" t="s">
        <v>44</v>
      </c>
      <c r="B290" s="10" t="s">
        <v>9</v>
      </c>
      <c r="C290" s="11" t="s">
        <v>5</v>
      </c>
      <c r="D290" s="20">
        <v>10</v>
      </c>
      <c r="E290" s="20">
        <v>15</v>
      </c>
      <c r="F290" s="16">
        <v>2931</v>
      </c>
      <c r="G290" s="20">
        <v>2198.25</v>
      </c>
      <c r="H290" s="12">
        <v>45597</v>
      </c>
    </row>
    <row r="291" spans="1:8" x14ac:dyDescent="0.25">
      <c r="A291" s="10" t="s">
        <v>44</v>
      </c>
      <c r="B291" s="10" t="s">
        <v>4</v>
      </c>
      <c r="C291" s="11" t="s">
        <v>5</v>
      </c>
      <c r="D291" s="20">
        <v>10</v>
      </c>
      <c r="E291" s="20">
        <v>15</v>
      </c>
      <c r="F291" s="16">
        <v>655</v>
      </c>
      <c r="G291" s="20">
        <v>491.25</v>
      </c>
      <c r="H291" s="12">
        <v>45597</v>
      </c>
    </row>
    <row r="292" spans="1:8" x14ac:dyDescent="0.25">
      <c r="A292" s="10" t="s">
        <v>15</v>
      </c>
      <c r="B292" s="10" t="s">
        <v>4</v>
      </c>
      <c r="C292" s="11" t="s">
        <v>5</v>
      </c>
      <c r="D292" s="20">
        <v>10</v>
      </c>
      <c r="E292" s="20">
        <v>20</v>
      </c>
      <c r="F292" s="16">
        <v>544</v>
      </c>
      <c r="G292" s="20">
        <v>108.8</v>
      </c>
      <c r="H292" s="12">
        <v>45597</v>
      </c>
    </row>
    <row r="293" spans="1:8" x14ac:dyDescent="0.25">
      <c r="A293" s="10" t="s">
        <v>17</v>
      </c>
      <c r="B293" s="10" t="s">
        <v>7</v>
      </c>
      <c r="C293" s="11" t="s">
        <v>5</v>
      </c>
      <c r="D293" s="20">
        <v>10</v>
      </c>
      <c r="E293" s="20">
        <v>20</v>
      </c>
      <c r="F293" s="16">
        <v>1033</v>
      </c>
      <c r="G293" s="20">
        <v>1033</v>
      </c>
      <c r="H293" s="12">
        <v>45597</v>
      </c>
    </row>
    <row r="294" spans="1:8" x14ac:dyDescent="0.25">
      <c r="A294" s="10" t="s">
        <v>28</v>
      </c>
      <c r="B294" s="10" t="s">
        <v>10</v>
      </c>
      <c r="C294" s="11" t="s">
        <v>5</v>
      </c>
      <c r="D294" s="20">
        <v>250</v>
      </c>
      <c r="E294" s="20">
        <v>300</v>
      </c>
      <c r="F294" s="16">
        <v>2536</v>
      </c>
      <c r="G294" s="20">
        <v>38040</v>
      </c>
      <c r="H294" s="12">
        <v>45597</v>
      </c>
    </row>
    <row r="295" spans="1:8" x14ac:dyDescent="0.25">
      <c r="A295" s="10" t="s">
        <v>28</v>
      </c>
      <c r="B295" s="10" t="s">
        <v>9</v>
      </c>
      <c r="C295" s="11" t="s">
        <v>5</v>
      </c>
      <c r="D295" s="20">
        <v>250</v>
      </c>
      <c r="E295" s="20">
        <v>300</v>
      </c>
      <c r="F295" s="16">
        <v>2574</v>
      </c>
      <c r="G295" s="20">
        <v>38610</v>
      </c>
      <c r="H295" s="12">
        <v>45597</v>
      </c>
    </row>
    <row r="296" spans="1:8" x14ac:dyDescent="0.25">
      <c r="A296" s="10" t="s">
        <v>28</v>
      </c>
      <c r="B296" s="10" t="s">
        <v>4</v>
      </c>
      <c r="C296" s="11" t="s">
        <v>5</v>
      </c>
      <c r="D296" s="20">
        <v>250</v>
      </c>
      <c r="E296" s="20">
        <v>300</v>
      </c>
      <c r="F296" s="16">
        <v>2605</v>
      </c>
      <c r="G296" s="20">
        <v>39075</v>
      </c>
      <c r="H296" s="12">
        <v>45597</v>
      </c>
    </row>
    <row r="297" spans="1:8" x14ac:dyDescent="0.25">
      <c r="A297" s="10" t="s">
        <v>11</v>
      </c>
      <c r="B297" s="10" t="s">
        <v>7</v>
      </c>
      <c r="C297" s="11" t="s">
        <v>5</v>
      </c>
      <c r="D297" s="20">
        <v>250</v>
      </c>
      <c r="E297" s="20">
        <v>300</v>
      </c>
      <c r="F297" s="16">
        <v>386</v>
      </c>
      <c r="G297" s="20">
        <v>5790</v>
      </c>
      <c r="H297" s="12">
        <v>45597</v>
      </c>
    </row>
    <row r="298" spans="1:8" x14ac:dyDescent="0.25">
      <c r="A298" s="10" t="s">
        <v>15</v>
      </c>
      <c r="B298" s="10" t="s">
        <v>9</v>
      </c>
      <c r="C298" s="11" t="s">
        <v>5</v>
      </c>
      <c r="D298" s="20">
        <v>260</v>
      </c>
      <c r="E298" s="20">
        <v>350</v>
      </c>
      <c r="F298" s="16">
        <v>2007</v>
      </c>
      <c r="G298" s="20">
        <v>35122.5</v>
      </c>
      <c r="H298" s="12">
        <v>45597</v>
      </c>
    </row>
    <row r="299" spans="1:8" x14ac:dyDescent="0.25">
      <c r="A299" s="10" t="s">
        <v>17</v>
      </c>
      <c r="B299" s="10" t="s">
        <v>6</v>
      </c>
      <c r="C299" s="11" t="s">
        <v>14</v>
      </c>
      <c r="D299" s="20">
        <v>3</v>
      </c>
      <c r="E299" s="20">
        <v>12</v>
      </c>
      <c r="F299" s="16">
        <v>1775</v>
      </c>
      <c r="G299" s="20">
        <v>1065</v>
      </c>
      <c r="H299" s="12">
        <v>45597</v>
      </c>
    </row>
    <row r="300" spans="1:8" x14ac:dyDescent="0.25">
      <c r="A300" s="10" t="s">
        <v>11</v>
      </c>
      <c r="B300" s="10" t="s">
        <v>6</v>
      </c>
      <c r="C300" s="11" t="s">
        <v>14</v>
      </c>
      <c r="D300" s="20">
        <v>120</v>
      </c>
      <c r="E300" s="20">
        <v>125</v>
      </c>
      <c r="F300" s="16">
        <v>2500</v>
      </c>
      <c r="G300" s="20">
        <v>15625</v>
      </c>
      <c r="H300" s="12">
        <v>45597</v>
      </c>
    </row>
    <row r="301" spans="1:8" x14ac:dyDescent="0.25">
      <c r="A301" s="10" t="s">
        <v>11</v>
      </c>
      <c r="B301" s="10" t="s">
        <v>9</v>
      </c>
      <c r="C301" s="11" t="s">
        <v>14</v>
      </c>
      <c r="D301" s="20">
        <v>120</v>
      </c>
      <c r="E301" s="20">
        <v>125</v>
      </c>
      <c r="F301" s="16">
        <v>1804</v>
      </c>
      <c r="G301" s="20">
        <v>11275</v>
      </c>
      <c r="H301" s="12">
        <v>45597</v>
      </c>
    </row>
    <row r="302" spans="1:8" x14ac:dyDescent="0.25">
      <c r="A302" s="10" t="s">
        <v>11</v>
      </c>
      <c r="B302" s="10" t="s">
        <v>4</v>
      </c>
      <c r="C302" s="11" t="s">
        <v>14</v>
      </c>
      <c r="D302" s="20">
        <v>120</v>
      </c>
      <c r="E302" s="20">
        <v>125</v>
      </c>
      <c r="F302" s="16">
        <v>1660</v>
      </c>
      <c r="G302" s="20">
        <v>10375</v>
      </c>
      <c r="H302" s="12">
        <v>45597</v>
      </c>
    </row>
    <row r="303" spans="1:8" x14ac:dyDescent="0.25">
      <c r="A303" s="10" t="s">
        <v>11</v>
      </c>
      <c r="B303" s="10" t="s">
        <v>4</v>
      </c>
      <c r="C303" s="11" t="s">
        <v>14</v>
      </c>
      <c r="D303" s="20">
        <v>120</v>
      </c>
      <c r="E303" s="20">
        <v>125</v>
      </c>
      <c r="F303" s="16">
        <v>1857</v>
      </c>
      <c r="G303" s="20">
        <v>11606.25</v>
      </c>
      <c r="H303" s="12">
        <v>45597</v>
      </c>
    </row>
    <row r="304" spans="1:8" x14ac:dyDescent="0.25">
      <c r="A304" s="10" t="s">
        <v>15</v>
      </c>
      <c r="B304" s="10" t="s">
        <v>6</v>
      </c>
      <c r="C304" s="11" t="s">
        <v>14</v>
      </c>
      <c r="D304" s="20">
        <v>260</v>
      </c>
      <c r="E304" s="20">
        <v>350</v>
      </c>
      <c r="F304" s="16">
        <v>200</v>
      </c>
      <c r="G304" s="20">
        <v>3500</v>
      </c>
      <c r="H304" s="12">
        <v>45597</v>
      </c>
    </row>
    <row r="305" spans="1:8" x14ac:dyDescent="0.25">
      <c r="A305" s="10" t="s">
        <v>17</v>
      </c>
      <c r="B305" s="10" t="s">
        <v>10</v>
      </c>
      <c r="C305" s="11" t="s">
        <v>8</v>
      </c>
      <c r="D305" s="20">
        <v>3</v>
      </c>
      <c r="E305" s="20">
        <v>12</v>
      </c>
      <c r="F305" s="16">
        <v>2222</v>
      </c>
      <c r="G305" s="20">
        <v>1333.2</v>
      </c>
      <c r="H305" s="12">
        <v>45597</v>
      </c>
    </row>
    <row r="306" spans="1:8" x14ac:dyDescent="0.25">
      <c r="A306" s="10" t="s">
        <v>17</v>
      </c>
      <c r="B306" s="10" t="s">
        <v>4</v>
      </c>
      <c r="C306" s="11" t="s">
        <v>8</v>
      </c>
      <c r="D306" s="20">
        <v>3</v>
      </c>
      <c r="E306" s="20">
        <v>12</v>
      </c>
      <c r="F306" s="16">
        <v>2763</v>
      </c>
      <c r="G306" s="20">
        <v>1657.8000000000002</v>
      </c>
      <c r="H306" s="12">
        <v>45597</v>
      </c>
    </row>
    <row r="307" spans="1:8" x14ac:dyDescent="0.25">
      <c r="A307" s="10" t="s">
        <v>17</v>
      </c>
      <c r="B307" s="10" t="s">
        <v>7</v>
      </c>
      <c r="C307" s="11" t="s">
        <v>8</v>
      </c>
      <c r="D307" s="20">
        <v>3</v>
      </c>
      <c r="E307" s="20">
        <v>12</v>
      </c>
      <c r="F307" s="16">
        <v>1785</v>
      </c>
      <c r="G307" s="20">
        <v>1071</v>
      </c>
      <c r="H307" s="12">
        <v>45597</v>
      </c>
    </row>
    <row r="308" spans="1:8" x14ac:dyDescent="0.25">
      <c r="A308" s="10" t="s">
        <v>15</v>
      </c>
      <c r="B308" s="10" t="s">
        <v>7</v>
      </c>
      <c r="C308" s="11" t="s">
        <v>8</v>
      </c>
      <c r="D308" s="20">
        <v>5</v>
      </c>
      <c r="E308" s="20">
        <v>7</v>
      </c>
      <c r="F308" s="16">
        <v>2136</v>
      </c>
      <c r="G308" s="20">
        <v>747.6</v>
      </c>
      <c r="H308" s="12">
        <v>45597</v>
      </c>
    </row>
    <row r="309" spans="1:8" x14ac:dyDescent="0.25">
      <c r="A309" s="10" t="s">
        <v>15</v>
      </c>
      <c r="B309" s="10" t="s">
        <v>9</v>
      </c>
      <c r="C309" s="11" t="s">
        <v>8</v>
      </c>
      <c r="D309" s="20">
        <v>10</v>
      </c>
      <c r="E309" s="20">
        <v>20</v>
      </c>
      <c r="F309" s="16">
        <v>1265</v>
      </c>
      <c r="G309" s="20">
        <v>0</v>
      </c>
      <c r="H309" s="12">
        <v>45597</v>
      </c>
    </row>
    <row r="310" spans="1:8" x14ac:dyDescent="0.25">
      <c r="A310" s="10" t="s">
        <v>44</v>
      </c>
      <c r="B310" s="10" t="s">
        <v>7</v>
      </c>
      <c r="C310" s="11" t="s">
        <v>8</v>
      </c>
      <c r="D310" s="20">
        <v>10</v>
      </c>
      <c r="E310" s="20">
        <v>15</v>
      </c>
      <c r="F310" s="16">
        <v>549</v>
      </c>
      <c r="G310" s="20">
        <v>0</v>
      </c>
      <c r="H310" s="12">
        <v>45597</v>
      </c>
    </row>
    <row r="311" spans="1:8" x14ac:dyDescent="0.25">
      <c r="A311" s="10" t="s">
        <v>28</v>
      </c>
      <c r="B311" s="10" t="s">
        <v>10</v>
      </c>
      <c r="C311" s="11" t="s">
        <v>8</v>
      </c>
      <c r="D311" s="20">
        <v>250</v>
      </c>
      <c r="E311" s="20">
        <v>300</v>
      </c>
      <c r="F311" s="16">
        <v>1404</v>
      </c>
      <c r="G311" s="20">
        <v>21060</v>
      </c>
      <c r="H311" s="12">
        <v>45597</v>
      </c>
    </row>
    <row r="312" spans="1:8" x14ac:dyDescent="0.25">
      <c r="A312" s="10" t="s">
        <v>15</v>
      </c>
      <c r="B312" s="10" t="s">
        <v>10</v>
      </c>
      <c r="C312" s="11" t="s">
        <v>8</v>
      </c>
      <c r="D312" s="20">
        <v>260</v>
      </c>
      <c r="E312" s="20">
        <v>350</v>
      </c>
      <c r="F312" s="16">
        <v>1725</v>
      </c>
      <c r="G312" s="20">
        <v>0</v>
      </c>
      <c r="H312" s="12">
        <v>45597</v>
      </c>
    </row>
    <row r="313" spans="1:8" x14ac:dyDescent="0.25">
      <c r="A313" s="10" t="s">
        <v>28</v>
      </c>
      <c r="B313" s="10" t="s">
        <v>4</v>
      </c>
      <c r="C313" s="11" t="s">
        <v>8</v>
      </c>
      <c r="D313" s="20">
        <v>260</v>
      </c>
      <c r="E313" s="20">
        <v>350</v>
      </c>
      <c r="F313" s="16">
        <v>2151</v>
      </c>
      <c r="G313" s="20">
        <v>37642.5</v>
      </c>
      <c r="H313" s="12">
        <v>45597</v>
      </c>
    </row>
    <row r="314" spans="1:8" x14ac:dyDescent="0.25">
      <c r="A314" s="10" t="s">
        <v>15</v>
      </c>
      <c r="B314" s="10" t="s">
        <v>7</v>
      </c>
      <c r="C314" s="11" t="s">
        <v>8</v>
      </c>
      <c r="D314" s="20">
        <v>260</v>
      </c>
      <c r="E314" s="20">
        <v>350</v>
      </c>
      <c r="F314" s="16">
        <v>1922</v>
      </c>
      <c r="G314" s="20">
        <v>33635</v>
      </c>
      <c r="H314" s="12">
        <v>45597</v>
      </c>
    </row>
    <row r="315" spans="1:8" x14ac:dyDescent="0.25">
      <c r="A315" s="10" t="s">
        <v>15</v>
      </c>
      <c r="B315" s="10" t="s">
        <v>10</v>
      </c>
      <c r="C315" s="11" t="s">
        <v>16</v>
      </c>
      <c r="D315" s="20">
        <v>10</v>
      </c>
      <c r="E315" s="20">
        <v>20</v>
      </c>
      <c r="F315" s="16">
        <v>935</v>
      </c>
      <c r="G315" s="20">
        <v>935</v>
      </c>
      <c r="H315" s="12">
        <v>45597</v>
      </c>
    </row>
    <row r="316" spans="1:8" x14ac:dyDescent="0.25">
      <c r="A316" s="10" t="s">
        <v>15</v>
      </c>
      <c r="B316" s="10" t="s">
        <v>6</v>
      </c>
      <c r="C316" s="11" t="s">
        <v>16</v>
      </c>
      <c r="D316" s="20">
        <v>10</v>
      </c>
      <c r="E316" s="20">
        <v>20</v>
      </c>
      <c r="F316" s="16">
        <v>220</v>
      </c>
      <c r="G316" s="20">
        <v>0</v>
      </c>
      <c r="H316" s="12">
        <v>45597</v>
      </c>
    </row>
    <row r="317" spans="1:8" x14ac:dyDescent="0.25">
      <c r="A317" s="10" t="s">
        <v>15</v>
      </c>
      <c r="B317" s="10" t="s">
        <v>4</v>
      </c>
      <c r="C317" s="11" t="s">
        <v>16</v>
      </c>
      <c r="D317" s="20">
        <v>10</v>
      </c>
      <c r="E317" s="20">
        <v>20</v>
      </c>
      <c r="F317" s="16">
        <v>1123</v>
      </c>
      <c r="G317" s="20">
        <v>1123</v>
      </c>
      <c r="H317" s="12">
        <v>45597</v>
      </c>
    </row>
    <row r="318" spans="1:8" x14ac:dyDescent="0.25">
      <c r="A318" s="10" t="s">
        <v>15</v>
      </c>
      <c r="B318" s="10" t="s">
        <v>7</v>
      </c>
      <c r="C318" s="11" t="s">
        <v>16</v>
      </c>
      <c r="D318" s="20">
        <v>10</v>
      </c>
      <c r="E318" s="20">
        <v>20</v>
      </c>
      <c r="F318" s="16">
        <v>600</v>
      </c>
      <c r="G318" s="20">
        <v>0</v>
      </c>
      <c r="H318" s="12">
        <v>45597</v>
      </c>
    </row>
    <row r="319" spans="1:8" x14ac:dyDescent="0.25">
      <c r="A319" s="10" t="s">
        <v>11</v>
      </c>
      <c r="B319" s="10" t="s">
        <v>10</v>
      </c>
      <c r="C319" s="11" t="s">
        <v>16</v>
      </c>
      <c r="D319" s="20">
        <v>120</v>
      </c>
      <c r="E319" s="20">
        <v>125</v>
      </c>
      <c r="F319" s="16">
        <v>2954</v>
      </c>
      <c r="G319" s="20">
        <v>18462.5</v>
      </c>
      <c r="H319" s="12">
        <v>45597</v>
      </c>
    </row>
    <row r="320" spans="1:8" x14ac:dyDescent="0.25">
      <c r="A320" s="10" t="s">
        <v>17</v>
      </c>
      <c r="B320" s="10" t="s">
        <v>7</v>
      </c>
      <c r="C320" s="11" t="s">
        <v>16</v>
      </c>
      <c r="D320" s="20">
        <v>260</v>
      </c>
      <c r="E320" s="20">
        <v>350</v>
      </c>
      <c r="F320" s="16">
        <v>1281</v>
      </c>
      <c r="G320" s="20">
        <v>22417.5</v>
      </c>
      <c r="H320" s="12">
        <v>45597</v>
      </c>
    </row>
    <row r="321" spans="1:8" x14ac:dyDescent="0.25">
      <c r="A321" s="10" t="s">
        <v>17</v>
      </c>
      <c r="B321" s="10" t="s">
        <v>6</v>
      </c>
      <c r="C321" s="11" t="s">
        <v>12</v>
      </c>
      <c r="D321" s="20">
        <v>3</v>
      </c>
      <c r="E321" s="20">
        <v>12</v>
      </c>
      <c r="F321" s="16">
        <v>1770</v>
      </c>
      <c r="G321" s="20">
        <v>1062</v>
      </c>
      <c r="H321" s="12">
        <v>45627</v>
      </c>
    </row>
    <row r="322" spans="1:8" x14ac:dyDescent="0.25">
      <c r="A322" s="10" t="s">
        <v>17</v>
      </c>
      <c r="B322" s="10" t="s">
        <v>9</v>
      </c>
      <c r="C322" s="11" t="s">
        <v>12</v>
      </c>
      <c r="D322" s="20">
        <v>3</v>
      </c>
      <c r="E322" s="20">
        <v>12</v>
      </c>
      <c r="F322" s="16">
        <v>2015</v>
      </c>
      <c r="G322" s="20">
        <v>1209</v>
      </c>
      <c r="H322" s="12">
        <v>45627</v>
      </c>
    </row>
    <row r="323" spans="1:8" x14ac:dyDescent="0.25">
      <c r="A323" s="10" t="s">
        <v>17</v>
      </c>
      <c r="B323" s="10" t="s">
        <v>4</v>
      </c>
      <c r="C323" s="11" t="s">
        <v>12</v>
      </c>
      <c r="D323" s="20">
        <v>3</v>
      </c>
      <c r="E323" s="20">
        <v>12</v>
      </c>
      <c r="F323" s="16">
        <v>1375</v>
      </c>
      <c r="G323" s="20">
        <v>825</v>
      </c>
      <c r="H323" s="12">
        <v>45627</v>
      </c>
    </row>
    <row r="324" spans="1:8" x14ac:dyDescent="0.25">
      <c r="A324" s="10" t="s">
        <v>17</v>
      </c>
      <c r="B324" s="10" t="s">
        <v>7</v>
      </c>
      <c r="C324" s="11" t="s">
        <v>12</v>
      </c>
      <c r="D324" s="20">
        <v>3</v>
      </c>
      <c r="E324" s="20">
        <v>12</v>
      </c>
      <c r="F324" s="16">
        <v>306</v>
      </c>
      <c r="G324" s="20">
        <v>183.60000000000002</v>
      </c>
      <c r="H324" s="12">
        <v>45627</v>
      </c>
    </row>
    <row r="325" spans="1:8" x14ac:dyDescent="0.25">
      <c r="A325" s="10" t="s">
        <v>17</v>
      </c>
      <c r="B325" s="10" t="s">
        <v>7</v>
      </c>
      <c r="C325" s="11" t="s">
        <v>12</v>
      </c>
      <c r="D325" s="20">
        <v>3</v>
      </c>
      <c r="E325" s="20">
        <v>12</v>
      </c>
      <c r="F325" s="16">
        <v>306</v>
      </c>
      <c r="G325" s="20">
        <v>183.60000000000002</v>
      </c>
      <c r="H325" s="12">
        <v>45627</v>
      </c>
    </row>
    <row r="326" spans="1:8" x14ac:dyDescent="0.25">
      <c r="A326" s="10" t="s">
        <v>17</v>
      </c>
      <c r="B326" s="10" t="s">
        <v>7</v>
      </c>
      <c r="C326" s="11" t="s">
        <v>12</v>
      </c>
      <c r="D326" s="20">
        <v>3</v>
      </c>
      <c r="E326" s="20">
        <v>12</v>
      </c>
      <c r="F326" s="16">
        <v>306</v>
      </c>
      <c r="G326" s="20">
        <v>183.60000000000002</v>
      </c>
      <c r="H326" s="12">
        <v>45627</v>
      </c>
    </row>
    <row r="327" spans="1:8" x14ac:dyDescent="0.25">
      <c r="A327" s="10" t="s">
        <v>11</v>
      </c>
      <c r="B327" s="10" t="s">
        <v>10</v>
      </c>
      <c r="C327" s="11" t="s">
        <v>12</v>
      </c>
      <c r="D327" s="20">
        <v>120</v>
      </c>
      <c r="E327" s="20">
        <v>125</v>
      </c>
      <c r="F327" s="16">
        <v>1659</v>
      </c>
      <c r="G327" s="20">
        <v>10368.75</v>
      </c>
      <c r="H327" s="12">
        <v>45627</v>
      </c>
    </row>
    <row r="328" spans="1:8" x14ac:dyDescent="0.25">
      <c r="A328" s="10" t="s">
        <v>11</v>
      </c>
      <c r="B328" s="10" t="s">
        <v>10</v>
      </c>
      <c r="C328" s="11" t="s">
        <v>12</v>
      </c>
      <c r="D328" s="20">
        <v>120</v>
      </c>
      <c r="E328" s="20">
        <v>125</v>
      </c>
      <c r="F328" s="16">
        <v>2416</v>
      </c>
      <c r="G328" s="20">
        <v>15100</v>
      </c>
      <c r="H328" s="12">
        <v>45627</v>
      </c>
    </row>
    <row r="329" spans="1:8" x14ac:dyDescent="0.25">
      <c r="A329" s="10" t="s">
        <v>11</v>
      </c>
      <c r="B329" s="10" t="s">
        <v>6</v>
      </c>
      <c r="C329" s="11" t="s">
        <v>12</v>
      </c>
      <c r="D329" s="20">
        <v>120</v>
      </c>
      <c r="E329" s="20">
        <v>125</v>
      </c>
      <c r="F329" s="16">
        <v>994</v>
      </c>
      <c r="G329" s="20">
        <v>6212.5</v>
      </c>
      <c r="H329" s="12">
        <v>45627</v>
      </c>
    </row>
    <row r="330" spans="1:8" x14ac:dyDescent="0.25">
      <c r="A330" s="10" t="s">
        <v>11</v>
      </c>
      <c r="B330" s="10" t="s">
        <v>6</v>
      </c>
      <c r="C330" s="11" t="s">
        <v>12</v>
      </c>
      <c r="D330" s="20">
        <v>120</v>
      </c>
      <c r="E330" s="20">
        <v>125</v>
      </c>
      <c r="F330" s="16">
        <v>3165</v>
      </c>
      <c r="G330" s="20">
        <v>19781.25</v>
      </c>
      <c r="H330" s="12">
        <v>45627</v>
      </c>
    </row>
    <row r="331" spans="1:8" x14ac:dyDescent="0.25">
      <c r="A331" s="10" t="s">
        <v>11</v>
      </c>
      <c r="B331" s="10" t="s">
        <v>9</v>
      </c>
      <c r="C331" s="11" t="s">
        <v>12</v>
      </c>
      <c r="D331" s="20">
        <v>120</v>
      </c>
      <c r="E331" s="20">
        <v>125</v>
      </c>
      <c r="F331" s="16">
        <v>579</v>
      </c>
      <c r="G331" s="20">
        <v>3618.75</v>
      </c>
      <c r="H331" s="12">
        <v>45627</v>
      </c>
    </row>
    <row r="332" spans="1:8" x14ac:dyDescent="0.25">
      <c r="A332" s="10" t="s">
        <v>11</v>
      </c>
      <c r="B332" s="10" t="s">
        <v>4</v>
      </c>
      <c r="C332" s="11" t="s">
        <v>12</v>
      </c>
      <c r="D332" s="20">
        <v>120</v>
      </c>
      <c r="E332" s="20">
        <v>125</v>
      </c>
      <c r="F332" s="16">
        <v>947</v>
      </c>
      <c r="G332" s="20">
        <v>5918.75</v>
      </c>
      <c r="H332" s="12">
        <v>45627</v>
      </c>
    </row>
    <row r="333" spans="1:8" x14ac:dyDescent="0.25">
      <c r="A333" s="10" t="s">
        <v>15</v>
      </c>
      <c r="B333" s="10" t="s">
        <v>10</v>
      </c>
      <c r="C333" s="11" t="s">
        <v>12</v>
      </c>
      <c r="D333" s="20">
        <v>260</v>
      </c>
      <c r="E333" s="20">
        <v>350</v>
      </c>
      <c r="F333" s="16">
        <v>1778</v>
      </c>
      <c r="G333" s="20">
        <v>31115</v>
      </c>
      <c r="H333" s="12">
        <v>45627</v>
      </c>
    </row>
    <row r="334" spans="1:8" x14ac:dyDescent="0.25">
      <c r="A334" s="10" t="s">
        <v>17</v>
      </c>
      <c r="B334" s="10" t="s">
        <v>10</v>
      </c>
      <c r="C334" s="11" t="s">
        <v>13</v>
      </c>
      <c r="D334" s="20">
        <v>3</v>
      </c>
      <c r="E334" s="20">
        <v>12</v>
      </c>
      <c r="F334" s="16">
        <v>908</v>
      </c>
      <c r="G334" s="20">
        <v>544.80000000000007</v>
      </c>
      <c r="H334" s="12">
        <v>45627</v>
      </c>
    </row>
    <row r="335" spans="1:8" x14ac:dyDescent="0.25">
      <c r="A335" s="10" t="s">
        <v>11</v>
      </c>
      <c r="B335" s="10" t="s">
        <v>6</v>
      </c>
      <c r="C335" s="11" t="s">
        <v>13</v>
      </c>
      <c r="D335" s="20">
        <v>120</v>
      </c>
      <c r="E335" s="20">
        <v>125</v>
      </c>
      <c r="F335" s="16">
        <v>887</v>
      </c>
      <c r="G335" s="20">
        <v>5543.75</v>
      </c>
      <c r="H335" s="12">
        <v>45627</v>
      </c>
    </row>
    <row r="336" spans="1:8" x14ac:dyDescent="0.25">
      <c r="A336" s="10" t="s">
        <v>11</v>
      </c>
      <c r="B336" s="10" t="s">
        <v>9</v>
      </c>
      <c r="C336" s="11" t="s">
        <v>13</v>
      </c>
      <c r="D336" s="20">
        <v>120</v>
      </c>
      <c r="E336" s="20">
        <v>125</v>
      </c>
      <c r="F336" s="16">
        <v>330</v>
      </c>
      <c r="G336" s="20">
        <v>2062.5</v>
      </c>
      <c r="H336" s="12">
        <v>45627</v>
      </c>
    </row>
    <row r="337" spans="1:8" x14ac:dyDescent="0.25">
      <c r="A337" s="10" t="s">
        <v>11</v>
      </c>
      <c r="B337" s="10" t="s">
        <v>4</v>
      </c>
      <c r="C337" s="11" t="s">
        <v>13</v>
      </c>
      <c r="D337" s="20">
        <v>120</v>
      </c>
      <c r="E337" s="20">
        <v>125</v>
      </c>
      <c r="F337" s="16">
        <v>2821</v>
      </c>
      <c r="G337" s="20">
        <v>17631.25</v>
      </c>
      <c r="H337" s="12">
        <v>45627</v>
      </c>
    </row>
    <row r="338" spans="1:8" x14ac:dyDescent="0.25">
      <c r="A338" s="10" t="s">
        <v>11</v>
      </c>
      <c r="B338" s="10" t="s">
        <v>7</v>
      </c>
      <c r="C338" s="11" t="s">
        <v>13</v>
      </c>
      <c r="D338" s="20">
        <v>120</v>
      </c>
      <c r="E338" s="20">
        <v>125</v>
      </c>
      <c r="F338" s="16">
        <v>1023</v>
      </c>
      <c r="G338" s="20">
        <v>0</v>
      </c>
      <c r="H338" s="12">
        <v>45627</v>
      </c>
    </row>
    <row r="339" spans="1:8" x14ac:dyDescent="0.25">
      <c r="A339" s="10" t="s">
        <v>11</v>
      </c>
      <c r="B339" s="10" t="s">
        <v>7</v>
      </c>
      <c r="C339" s="11" t="s">
        <v>13</v>
      </c>
      <c r="D339" s="20">
        <v>120</v>
      </c>
      <c r="E339" s="20">
        <v>125</v>
      </c>
      <c r="F339" s="16">
        <v>1023</v>
      </c>
      <c r="G339" s="20">
        <v>0</v>
      </c>
      <c r="H339" s="12">
        <v>45627</v>
      </c>
    </row>
    <row r="340" spans="1:8" x14ac:dyDescent="0.25">
      <c r="A340" s="10" t="s">
        <v>11</v>
      </c>
      <c r="B340" s="10" t="s">
        <v>7</v>
      </c>
      <c r="C340" s="11" t="s">
        <v>13</v>
      </c>
      <c r="D340" s="20">
        <v>120</v>
      </c>
      <c r="E340" s="20">
        <v>125</v>
      </c>
      <c r="F340" s="16">
        <v>1482</v>
      </c>
      <c r="G340" s="20">
        <v>9262.5</v>
      </c>
      <c r="H340" s="12">
        <v>45627</v>
      </c>
    </row>
    <row r="341" spans="1:8" x14ac:dyDescent="0.25">
      <c r="A341" s="10" t="s">
        <v>15</v>
      </c>
      <c r="B341" s="10" t="s">
        <v>9</v>
      </c>
      <c r="C341" s="11" t="s">
        <v>5</v>
      </c>
      <c r="D341" s="20">
        <v>4.9000000000000004</v>
      </c>
      <c r="E341" s="20">
        <v>7</v>
      </c>
      <c r="F341" s="16">
        <v>2022</v>
      </c>
      <c r="G341" s="20">
        <v>0</v>
      </c>
      <c r="H341" s="12">
        <v>45627</v>
      </c>
    </row>
    <row r="342" spans="1:8" x14ac:dyDescent="0.25">
      <c r="A342" s="10" t="s">
        <v>44</v>
      </c>
      <c r="B342" s="10" t="s">
        <v>10</v>
      </c>
      <c r="C342" s="11" t="s">
        <v>5</v>
      </c>
      <c r="D342" s="20">
        <v>10</v>
      </c>
      <c r="E342" s="20">
        <v>15</v>
      </c>
      <c r="F342" s="16">
        <v>384</v>
      </c>
      <c r="G342" s="20">
        <v>288</v>
      </c>
      <c r="H342" s="12">
        <v>45627</v>
      </c>
    </row>
    <row r="343" spans="1:8" x14ac:dyDescent="0.25">
      <c r="A343" s="10" t="s">
        <v>44</v>
      </c>
      <c r="B343" s="10" t="s">
        <v>10</v>
      </c>
      <c r="C343" s="11" t="s">
        <v>5</v>
      </c>
      <c r="D343" s="20">
        <v>10</v>
      </c>
      <c r="E343" s="20">
        <v>15</v>
      </c>
      <c r="F343" s="16">
        <v>384</v>
      </c>
      <c r="G343" s="20">
        <v>288</v>
      </c>
      <c r="H343" s="12">
        <v>45627</v>
      </c>
    </row>
    <row r="344" spans="1:8" x14ac:dyDescent="0.25">
      <c r="A344" s="10" t="s">
        <v>28</v>
      </c>
      <c r="B344" s="10" t="s">
        <v>10</v>
      </c>
      <c r="C344" s="11" t="s">
        <v>5</v>
      </c>
      <c r="D344" s="20">
        <v>10</v>
      </c>
      <c r="E344" s="20">
        <v>20</v>
      </c>
      <c r="F344" s="16">
        <v>2646</v>
      </c>
      <c r="G344" s="20">
        <v>2646</v>
      </c>
      <c r="H344" s="12">
        <v>45627</v>
      </c>
    </row>
    <row r="345" spans="1:8" x14ac:dyDescent="0.25">
      <c r="A345" s="10" t="s">
        <v>28</v>
      </c>
      <c r="B345" s="10" t="s">
        <v>10</v>
      </c>
      <c r="C345" s="11" t="s">
        <v>5</v>
      </c>
      <c r="D345" s="20">
        <v>10</v>
      </c>
      <c r="E345" s="20">
        <v>20</v>
      </c>
      <c r="F345" s="16">
        <v>2646</v>
      </c>
      <c r="G345" s="20">
        <v>2646</v>
      </c>
      <c r="H345" s="12">
        <v>45627</v>
      </c>
    </row>
    <row r="346" spans="1:8" x14ac:dyDescent="0.25">
      <c r="A346" s="10" t="s">
        <v>44</v>
      </c>
      <c r="B346" s="10" t="s">
        <v>6</v>
      </c>
      <c r="C346" s="11" t="s">
        <v>5</v>
      </c>
      <c r="D346" s="20">
        <v>10</v>
      </c>
      <c r="E346" s="20">
        <v>15</v>
      </c>
      <c r="F346" s="16">
        <v>681</v>
      </c>
      <c r="G346" s="20">
        <v>510.75</v>
      </c>
      <c r="H346" s="12">
        <v>45627</v>
      </c>
    </row>
    <row r="347" spans="1:8" x14ac:dyDescent="0.25">
      <c r="A347" s="10" t="s">
        <v>44</v>
      </c>
      <c r="B347" s="10" t="s">
        <v>6</v>
      </c>
      <c r="C347" s="11" t="s">
        <v>5</v>
      </c>
      <c r="D347" s="20">
        <v>10</v>
      </c>
      <c r="E347" s="20">
        <v>15</v>
      </c>
      <c r="F347" s="16">
        <v>681</v>
      </c>
      <c r="G347" s="20">
        <v>510.75</v>
      </c>
      <c r="H347" s="12">
        <v>45627</v>
      </c>
    </row>
    <row r="348" spans="1:8" x14ac:dyDescent="0.25">
      <c r="A348" s="10" t="s">
        <v>15</v>
      </c>
      <c r="B348" s="10" t="s">
        <v>6</v>
      </c>
      <c r="C348" s="11" t="s">
        <v>5</v>
      </c>
      <c r="D348" s="20">
        <v>10</v>
      </c>
      <c r="E348" s="20">
        <v>20</v>
      </c>
      <c r="F348" s="16">
        <v>588</v>
      </c>
      <c r="G348" s="20">
        <v>588</v>
      </c>
      <c r="H348" s="12">
        <v>45627</v>
      </c>
    </row>
    <row r="349" spans="1:8" x14ac:dyDescent="0.25">
      <c r="A349" s="10" t="s">
        <v>44</v>
      </c>
      <c r="B349" s="10" t="s">
        <v>9</v>
      </c>
      <c r="C349" s="11" t="s">
        <v>5</v>
      </c>
      <c r="D349" s="20">
        <v>10</v>
      </c>
      <c r="E349" s="20">
        <v>15</v>
      </c>
      <c r="F349" s="16">
        <v>600</v>
      </c>
      <c r="G349" s="20">
        <v>0</v>
      </c>
      <c r="H349" s="12">
        <v>45627</v>
      </c>
    </row>
    <row r="350" spans="1:8" x14ac:dyDescent="0.25">
      <c r="A350" s="10" t="s">
        <v>44</v>
      </c>
      <c r="B350" s="10" t="s">
        <v>9</v>
      </c>
      <c r="C350" s="11" t="s">
        <v>5</v>
      </c>
      <c r="D350" s="20">
        <v>10</v>
      </c>
      <c r="E350" s="20">
        <v>15</v>
      </c>
      <c r="F350" s="16">
        <v>1925</v>
      </c>
      <c r="G350" s="20">
        <v>0</v>
      </c>
      <c r="H350" s="12">
        <v>45627</v>
      </c>
    </row>
    <row r="351" spans="1:8" x14ac:dyDescent="0.25">
      <c r="A351" s="10" t="s">
        <v>44</v>
      </c>
      <c r="B351" s="10" t="s">
        <v>9</v>
      </c>
      <c r="C351" s="11" t="s">
        <v>5</v>
      </c>
      <c r="D351" s="20">
        <v>10</v>
      </c>
      <c r="E351" s="20">
        <v>15</v>
      </c>
      <c r="F351" s="16">
        <v>555</v>
      </c>
      <c r="G351" s="20">
        <v>416.25</v>
      </c>
      <c r="H351" s="12">
        <v>45627</v>
      </c>
    </row>
    <row r="352" spans="1:8" x14ac:dyDescent="0.25">
      <c r="A352" s="10" t="s">
        <v>44</v>
      </c>
      <c r="B352" s="10" t="s">
        <v>9</v>
      </c>
      <c r="C352" s="11" t="s">
        <v>5</v>
      </c>
      <c r="D352" s="20">
        <v>10</v>
      </c>
      <c r="E352" s="20">
        <v>15</v>
      </c>
      <c r="F352" s="16">
        <v>2931</v>
      </c>
      <c r="G352" s="20">
        <v>2198.25</v>
      </c>
      <c r="H352" s="12">
        <v>45627</v>
      </c>
    </row>
    <row r="353" spans="1:8" x14ac:dyDescent="0.25">
      <c r="A353" s="10" t="s">
        <v>15</v>
      </c>
      <c r="B353" s="10" t="s">
        <v>9</v>
      </c>
      <c r="C353" s="11" t="s">
        <v>5</v>
      </c>
      <c r="D353" s="20">
        <v>10</v>
      </c>
      <c r="E353" s="20">
        <v>20</v>
      </c>
      <c r="F353" s="16">
        <v>1421</v>
      </c>
      <c r="G353" s="20">
        <v>1421</v>
      </c>
      <c r="H353" s="12">
        <v>45627</v>
      </c>
    </row>
    <row r="354" spans="1:8" x14ac:dyDescent="0.25">
      <c r="A354" s="10" t="s">
        <v>44</v>
      </c>
      <c r="B354" s="10" t="s">
        <v>4</v>
      </c>
      <c r="C354" s="11" t="s">
        <v>5</v>
      </c>
      <c r="D354" s="20">
        <v>10</v>
      </c>
      <c r="E354" s="20">
        <v>15</v>
      </c>
      <c r="F354" s="16">
        <v>655</v>
      </c>
      <c r="G354" s="20">
        <v>491.25</v>
      </c>
      <c r="H354" s="12">
        <v>45627</v>
      </c>
    </row>
    <row r="355" spans="1:8" x14ac:dyDescent="0.25">
      <c r="A355" s="10" t="s">
        <v>44</v>
      </c>
      <c r="B355" s="10" t="s">
        <v>4</v>
      </c>
      <c r="C355" s="11" t="s">
        <v>5</v>
      </c>
      <c r="D355" s="20">
        <v>10</v>
      </c>
      <c r="E355" s="20">
        <v>15</v>
      </c>
      <c r="F355" s="16">
        <v>2861</v>
      </c>
      <c r="G355" s="20">
        <v>2145.75</v>
      </c>
      <c r="H355" s="12">
        <v>45627</v>
      </c>
    </row>
    <row r="356" spans="1:8" x14ac:dyDescent="0.25">
      <c r="A356" s="10" t="s">
        <v>44</v>
      </c>
      <c r="B356" s="10" t="s">
        <v>4</v>
      </c>
      <c r="C356" s="11" t="s">
        <v>5</v>
      </c>
      <c r="D356" s="20">
        <v>10</v>
      </c>
      <c r="E356" s="20">
        <v>15</v>
      </c>
      <c r="F356" s="16">
        <v>2861</v>
      </c>
      <c r="G356" s="20">
        <v>2145.75</v>
      </c>
      <c r="H356" s="12">
        <v>45627</v>
      </c>
    </row>
    <row r="357" spans="1:8" x14ac:dyDescent="0.25">
      <c r="A357" s="10" t="s">
        <v>15</v>
      </c>
      <c r="B357" s="10" t="s">
        <v>4</v>
      </c>
      <c r="C357" s="11" t="s">
        <v>5</v>
      </c>
      <c r="D357" s="20">
        <v>10</v>
      </c>
      <c r="E357" s="20">
        <v>20</v>
      </c>
      <c r="F357" s="16">
        <v>544</v>
      </c>
      <c r="G357" s="20">
        <v>108.8</v>
      </c>
      <c r="H357" s="12">
        <v>45627</v>
      </c>
    </row>
    <row r="358" spans="1:8" x14ac:dyDescent="0.25">
      <c r="A358" s="10" t="s">
        <v>44</v>
      </c>
      <c r="B358" s="10" t="s">
        <v>7</v>
      </c>
      <c r="C358" s="11" t="s">
        <v>5</v>
      </c>
      <c r="D358" s="20">
        <v>10</v>
      </c>
      <c r="E358" s="20">
        <v>15</v>
      </c>
      <c r="F358" s="16">
        <v>3997</v>
      </c>
      <c r="G358" s="20">
        <v>2997.75</v>
      </c>
      <c r="H358" s="12">
        <v>45627</v>
      </c>
    </row>
    <row r="359" spans="1:8" x14ac:dyDescent="0.25">
      <c r="A359" s="10" t="s">
        <v>17</v>
      </c>
      <c r="B359" s="10" t="s">
        <v>7</v>
      </c>
      <c r="C359" s="11" t="s">
        <v>5</v>
      </c>
      <c r="D359" s="20">
        <v>10</v>
      </c>
      <c r="E359" s="20">
        <v>20</v>
      </c>
      <c r="F359" s="16">
        <v>1033</v>
      </c>
      <c r="G359" s="20">
        <v>1033</v>
      </c>
      <c r="H359" s="12">
        <v>45627</v>
      </c>
    </row>
    <row r="360" spans="1:8" x14ac:dyDescent="0.25">
      <c r="A360" s="10" t="s">
        <v>11</v>
      </c>
      <c r="B360" s="10" t="s">
        <v>10</v>
      </c>
      <c r="C360" s="11" t="s">
        <v>5</v>
      </c>
      <c r="D360" s="20">
        <v>120</v>
      </c>
      <c r="E360" s="20">
        <v>125</v>
      </c>
      <c r="F360" s="16">
        <v>1916</v>
      </c>
      <c r="G360" s="20">
        <v>11975</v>
      </c>
      <c r="H360" s="12">
        <v>45627</v>
      </c>
    </row>
    <row r="361" spans="1:8" x14ac:dyDescent="0.25">
      <c r="A361" s="10" t="s">
        <v>11</v>
      </c>
      <c r="B361" s="10" t="s">
        <v>9</v>
      </c>
      <c r="C361" s="11" t="s">
        <v>5</v>
      </c>
      <c r="D361" s="20">
        <v>120</v>
      </c>
      <c r="E361" s="20">
        <v>125</v>
      </c>
      <c r="F361" s="16">
        <v>2438</v>
      </c>
      <c r="G361" s="20">
        <v>15237.5</v>
      </c>
      <c r="H361" s="12">
        <v>45627</v>
      </c>
    </row>
    <row r="362" spans="1:8" x14ac:dyDescent="0.25">
      <c r="A362" s="10" t="s">
        <v>15</v>
      </c>
      <c r="B362" s="10" t="s">
        <v>10</v>
      </c>
      <c r="C362" s="11" t="s">
        <v>14</v>
      </c>
      <c r="D362" s="20">
        <v>5</v>
      </c>
      <c r="E362" s="20">
        <v>7</v>
      </c>
      <c r="F362" s="16">
        <v>1611</v>
      </c>
      <c r="G362" s="20">
        <v>563.85</v>
      </c>
      <c r="H362" s="12">
        <v>45627</v>
      </c>
    </row>
    <row r="363" spans="1:8" x14ac:dyDescent="0.25">
      <c r="A363" s="10" t="s">
        <v>15</v>
      </c>
      <c r="B363" s="10" t="s">
        <v>6</v>
      </c>
      <c r="C363" s="11" t="s">
        <v>14</v>
      </c>
      <c r="D363" s="20">
        <v>5</v>
      </c>
      <c r="E363" s="20">
        <v>7</v>
      </c>
      <c r="F363" s="16">
        <v>125</v>
      </c>
      <c r="G363" s="20">
        <v>43.75</v>
      </c>
      <c r="H363" s="12">
        <v>45627</v>
      </c>
    </row>
    <row r="364" spans="1:8" x14ac:dyDescent="0.25">
      <c r="A364" s="10" t="s">
        <v>44</v>
      </c>
      <c r="B364" s="10" t="s">
        <v>6</v>
      </c>
      <c r="C364" s="11" t="s">
        <v>14</v>
      </c>
      <c r="D364" s="20">
        <v>10</v>
      </c>
      <c r="E364" s="20">
        <v>15</v>
      </c>
      <c r="F364" s="16">
        <v>2116</v>
      </c>
      <c r="G364" s="20">
        <v>1587</v>
      </c>
      <c r="H364" s="12">
        <v>45627</v>
      </c>
    </row>
    <row r="365" spans="1:8" x14ac:dyDescent="0.25">
      <c r="A365" s="10" t="s">
        <v>28</v>
      </c>
      <c r="B365" s="10" t="s">
        <v>10</v>
      </c>
      <c r="C365" s="11" t="s">
        <v>14</v>
      </c>
      <c r="D365" s="20">
        <v>250</v>
      </c>
      <c r="E365" s="20">
        <v>300</v>
      </c>
      <c r="F365" s="16">
        <v>1283</v>
      </c>
      <c r="G365" s="20">
        <v>19245</v>
      </c>
      <c r="H365" s="12">
        <v>45627</v>
      </c>
    </row>
    <row r="366" spans="1:8" x14ac:dyDescent="0.25">
      <c r="A366" s="10" t="s">
        <v>28</v>
      </c>
      <c r="B366" s="10" t="s">
        <v>10</v>
      </c>
      <c r="C366" s="11" t="s">
        <v>14</v>
      </c>
      <c r="D366" s="20">
        <v>250</v>
      </c>
      <c r="E366" s="20">
        <v>300</v>
      </c>
      <c r="F366" s="16">
        <v>1283</v>
      </c>
      <c r="G366" s="20">
        <v>19245</v>
      </c>
      <c r="H366" s="12">
        <v>45627</v>
      </c>
    </row>
    <row r="367" spans="1:8" x14ac:dyDescent="0.25">
      <c r="A367" s="10" t="s">
        <v>28</v>
      </c>
      <c r="B367" s="10" t="s">
        <v>6</v>
      </c>
      <c r="C367" s="11" t="s">
        <v>14</v>
      </c>
      <c r="D367" s="20">
        <v>250</v>
      </c>
      <c r="E367" s="20">
        <v>300</v>
      </c>
      <c r="F367" s="16">
        <v>334</v>
      </c>
      <c r="G367" s="20">
        <v>5010</v>
      </c>
      <c r="H367" s="12">
        <v>45627</v>
      </c>
    </row>
    <row r="368" spans="1:8" x14ac:dyDescent="0.25">
      <c r="A368" s="10" t="s">
        <v>28</v>
      </c>
      <c r="B368" s="10" t="s">
        <v>4</v>
      </c>
      <c r="C368" s="11" t="s">
        <v>14</v>
      </c>
      <c r="D368" s="20">
        <v>250</v>
      </c>
      <c r="E368" s="20">
        <v>300</v>
      </c>
      <c r="F368" s="16">
        <v>1100</v>
      </c>
      <c r="G368" s="20">
        <v>16500</v>
      </c>
      <c r="H368" s="12">
        <v>45627</v>
      </c>
    </row>
    <row r="369" spans="1:8" x14ac:dyDescent="0.25">
      <c r="A369" s="10" t="s">
        <v>28</v>
      </c>
      <c r="B369" s="10" t="s">
        <v>7</v>
      </c>
      <c r="C369" s="11" t="s">
        <v>14</v>
      </c>
      <c r="D369" s="20">
        <v>250</v>
      </c>
      <c r="E369" s="20">
        <v>300</v>
      </c>
      <c r="F369" s="16">
        <v>1186</v>
      </c>
      <c r="G369" s="20">
        <v>17790</v>
      </c>
      <c r="H369" s="12">
        <v>45627</v>
      </c>
    </row>
    <row r="370" spans="1:8" x14ac:dyDescent="0.25">
      <c r="A370" s="10" t="s">
        <v>28</v>
      </c>
      <c r="B370" s="10" t="s">
        <v>10</v>
      </c>
      <c r="C370" s="11" t="s">
        <v>8</v>
      </c>
      <c r="D370" s="20">
        <v>5</v>
      </c>
      <c r="E370" s="20">
        <v>7</v>
      </c>
      <c r="F370" s="16">
        <v>2349</v>
      </c>
      <c r="G370" s="20">
        <v>822.15000000000009</v>
      </c>
      <c r="H370" s="12">
        <v>45627</v>
      </c>
    </row>
    <row r="371" spans="1:8" x14ac:dyDescent="0.25">
      <c r="A371" s="10" t="s">
        <v>28</v>
      </c>
      <c r="B371" s="10" t="s">
        <v>10</v>
      </c>
      <c r="C371" s="11" t="s">
        <v>8</v>
      </c>
      <c r="D371" s="20">
        <v>5</v>
      </c>
      <c r="E371" s="20">
        <v>7</v>
      </c>
      <c r="F371" s="16">
        <v>2349</v>
      </c>
      <c r="G371" s="20">
        <v>822.15000000000009</v>
      </c>
      <c r="H371" s="12">
        <v>45627</v>
      </c>
    </row>
    <row r="372" spans="1:8" x14ac:dyDescent="0.25">
      <c r="A372" s="10" t="s">
        <v>15</v>
      </c>
      <c r="B372" s="10" t="s">
        <v>4</v>
      </c>
      <c r="C372" s="11" t="s">
        <v>8</v>
      </c>
      <c r="D372" s="20">
        <v>5</v>
      </c>
      <c r="E372" s="20">
        <v>7</v>
      </c>
      <c r="F372" s="16">
        <v>946</v>
      </c>
      <c r="G372" s="20">
        <v>331.1</v>
      </c>
      <c r="H372" s="12">
        <v>45627</v>
      </c>
    </row>
    <row r="373" spans="1:8" x14ac:dyDescent="0.25">
      <c r="A373" s="10" t="s">
        <v>15</v>
      </c>
      <c r="B373" s="10" t="s">
        <v>7</v>
      </c>
      <c r="C373" s="11" t="s">
        <v>8</v>
      </c>
      <c r="D373" s="20">
        <v>5</v>
      </c>
      <c r="E373" s="20">
        <v>7</v>
      </c>
      <c r="F373" s="16">
        <v>2136</v>
      </c>
      <c r="G373" s="20">
        <v>747.6</v>
      </c>
      <c r="H373" s="12">
        <v>45627</v>
      </c>
    </row>
    <row r="374" spans="1:8" x14ac:dyDescent="0.25">
      <c r="A374" s="10" t="s">
        <v>44</v>
      </c>
      <c r="B374" s="10" t="s">
        <v>10</v>
      </c>
      <c r="C374" s="11" t="s">
        <v>8</v>
      </c>
      <c r="D374" s="20">
        <v>10</v>
      </c>
      <c r="E374" s="20">
        <v>15</v>
      </c>
      <c r="F374" s="16">
        <v>2152</v>
      </c>
      <c r="G374" s="20">
        <v>0</v>
      </c>
      <c r="H374" s="12">
        <v>45627</v>
      </c>
    </row>
    <row r="375" spans="1:8" x14ac:dyDescent="0.25">
      <c r="A375" s="10" t="s">
        <v>15</v>
      </c>
      <c r="B375" s="10" t="s">
        <v>10</v>
      </c>
      <c r="C375" s="11" t="s">
        <v>8</v>
      </c>
      <c r="D375" s="20">
        <v>10</v>
      </c>
      <c r="E375" s="20">
        <v>20</v>
      </c>
      <c r="F375" s="16">
        <v>1802</v>
      </c>
      <c r="G375" s="20">
        <v>1802</v>
      </c>
      <c r="H375" s="12">
        <v>45627</v>
      </c>
    </row>
    <row r="376" spans="1:8" x14ac:dyDescent="0.25">
      <c r="A376" s="10" t="s">
        <v>44</v>
      </c>
      <c r="B376" s="10" t="s">
        <v>4</v>
      </c>
      <c r="C376" s="11" t="s">
        <v>8</v>
      </c>
      <c r="D376" s="20">
        <v>10</v>
      </c>
      <c r="E376" s="20">
        <v>15</v>
      </c>
      <c r="F376" s="16">
        <v>380</v>
      </c>
      <c r="G376" s="20">
        <v>285</v>
      </c>
      <c r="H376" s="12">
        <v>45627</v>
      </c>
    </row>
    <row r="377" spans="1:8" x14ac:dyDescent="0.25">
      <c r="A377" s="10" t="s">
        <v>44</v>
      </c>
      <c r="B377" s="10" t="s">
        <v>7</v>
      </c>
      <c r="C377" s="11" t="s">
        <v>8</v>
      </c>
      <c r="D377" s="20">
        <v>10</v>
      </c>
      <c r="E377" s="20">
        <v>15</v>
      </c>
      <c r="F377" s="16">
        <v>549</v>
      </c>
      <c r="G377" s="20">
        <v>0</v>
      </c>
      <c r="H377" s="12">
        <v>45627</v>
      </c>
    </row>
    <row r="378" spans="1:8" x14ac:dyDescent="0.25">
      <c r="A378" s="10" t="s">
        <v>44</v>
      </c>
      <c r="B378" s="10" t="s">
        <v>7</v>
      </c>
      <c r="C378" s="11" t="s">
        <v>8</v>
      </c>
      <c r="D378" s="20">
        <v>10</v>
      </c>
      <c r="E378" s="20">
        <v>15</v>
      </c>
      <c r="F378" s="16">
        <v>2261</v>
      </c>
      <c r="G378" s="20">
        <v>1695.75</v>
      </c>
      <c r="H378" s="12">
        <v>45627</v>
      </c>
    </row>
    <row r="379" spans="1:8" x14ac:dyDescent="0.25">
      <c r="A379" s="10" t="s">
        <v>17</v>
      </c>
      <c r="B379" s="10" t="s">
        <v>9</v>
      </c>
      <c r="C379" s="11" t="s">
        <v>8</v>
      </c>
      <c r="D379" s="20">
        <v>250</v>
      </c>
      <c r="E379" s="20">
        <v>300</v>
      </c>
      <c r="F379" s="16">
        <v>808</v>
      </c>
      <c r="G379" s="20">
        <v>12120</v>
      </c>
      <c r="H379" s="12">
        <v>45627</v>
      </c>
    </row>
    <row r="380" spans="1:8" x14ac:dyDescent="0.25">
      <c r="A380" s="10" t="s">
        <v>15</v>
      </c>
      <c r="B380" s="10" t="s">
        <v>9</v>
      </c>
      <c r="C380" s="11" t="s">
        <v>8</v>
      </c>
      <c r="D380" s="20">
        <v>260</v>
      </c>
      <c r="E380" s="20">
        <v>350</v>
      </c>
      <c r="F380" s="16">
        <v>266</v>
      </c>
      <c r="G380" s="20">
        <v>4655</v>
      </c>
      <c r="H380" s="12">
        <v>45627</v>
      </c>
    </row>
    <row r="381" spans="1:8" x14ac:dyDescent="0.25">
      <c r="A381" s="10" t="s">
        <v>28</v>
      </c>
      <c r="B381" s="10" t="s">
        <v>10</v>
      </c>
      <c r="C381" s="11" t="s">
        <v>16</v>
      </c>
      <c r="D381" s="20">
        <v>250</v>
      </c>
      <c r="E381" s="20">
        <v>300</v>
      </c>
      <c r="F381" s="16">
        <v>2436</v>
      </c>
      <c r="G381" s="20">
        <v>36540</v>
      </c>
      <c r="H381" s="12">
        <v>45627</v>
      </c>
    </row>
    <row r="382" spans="1:8" x14ac:dyDescent="0.25">
      <c r="A382" s="10" t="s">
        <v>15</v>
      </c>
      <c r="B382" s="10" t="s">
        <v>6</v>
      </c>
      <c r="C382" s="11" t="s">
        <v>16</v>
      </c>
      <c r="D382" s="20">
        <v>260</v>
      </c>
      <c r="E382" s="20">
        <v>350</v>
      </c>
      <c r="F382" s="16">
        <v>200</v>
      </c>
      <c r="G382" s="20">
        <v>3500</v>
      </c>
      <c r="H382" s="12">
        <v>45627</v>
      </c>
    </row>
    <row r="383" spans="1:8" x14ac:dyDescent="0.25">
      <c r="A383" s="10" t="s">
        <v>28</v>
      </c>
      <c r="B383" s="10" t="s">
        <v>4</v>
      </c>
      <c r="C383" s="11" t="s">
        <v>16</v>
      </c>
      <c r="D383" s="20">
        <v>260</v>
      </c>
      <c r="E383" s="20">
        <v>350</v>
      </c>
      <c r="F383" s="16">
        <v>1940</v>
      </c>
      <c r="G383" s="20">
        <v>33950</v>
      </c>
      <c r="H383" s="12">
        <v>45627</v>
      </c>
    </row>
    <row r="384" spans="1:8" x14ac:dyDescent="0.25">
      <c r="A384" s="10" t="s">
        <v>17</v>
      </c>
      <c r="B384" s="10" t="s">
        <v>7</v>
      </c>
      <c r="C384" s="11" t="s">
        <v>16</v>
      </c>
      <c r="D384" s="20">
        <v>260</v>
      </c>
      <c r="E384" s="20">
        <v>350</v>
      </c>
      <c r="F384" s="16">
        <v>1281</v>
      </c>
      <c r="G384" s="20">
        <v>22417.5</v>
      </c>
      <c r="H384" s="12">
        <v>45627</v>
      </c>
    </row>
    <row r="385" spans="1:8" x14ac:dyDescent="0.25">
      <c r="A385" s="10" t="s">
        <v>15</v>
      </c>
      <c r="B385" s="10" t="s">
        <v>10</v>
      </c>
      <c r="C385" s="11" t="s">
        <v>12</v>
      </c>
      <c r="D385" s="20">
        <v>10</v>
      </c>
      <c r="E385" s="20">
        <v>20</v>
      </c>
      <c r="F385" s="16">
        <v>1618</v>
      </c>
      <c r="G385" s="20">
        <v>0</v>
      </c>
      <c r="H385" s="12">
        <v>45658</v>
      </c>
    </row>
    <row r="386" spans="1:8" x14ac:dyDescent="0.25">
      <c r="A386" s="10" t="s">
        <v>28</v>
      </c>
      <c r="B386" s="10" t="s">
        <v>4</v>
      </c>
      <c r="C386" s="11" t="s">
        <v>12</v>
      </c>
      <c r="D386" s="20">
        <v>10</v>
      </c>
      <c r="E386" s="20">
        <v>20</v>
      </c>
      <c r="F386" s="16">
        <v>300</v>
      </c>
      <c r="G386" s="20">
        <v>300</v>
      </c>
      <c r="H386" s="12">
        <v>45658</v>
      </c>
    </row>
    <row r="387" spans="1:8" x14ac:dyDescent="0.25">
      <c r="A387" s="10" t="s">
        <v>11</v>
      </c>
      <c r="B387" s="10" t="s">
        <v>10</v>
      </c>
      <c r="C387" s="11" t="s">
        <v>12</v>
      </c>
      <c r="D387" s="20">
        <v>120</v>
      </c>
      <c r="E387" s="20">
        <v>125</v>
      </c>
      <c r="F387" s="16">
        <v>1659</v>
      </c>
      <c r="G387" s="20">
        <v>10368.75</v>
      </c>
      <c r="H387" s="12">
        <v>45658</v>
      </c>
    </row>
    <row r="388" spans="1:8" x14ac:dyDescent="0.25">
      <c r="A388" s="10" t="s">
        <v>11</v>
      </c>
      <c r="B388" s="10" t="s">
        <v>6</v>
      </c>
      <c r="C388" s="11" t="s">
        <v>12</v>
      </c>
      <c r="D388" s="20">
        <v>120</v>
      </c>
      <c r="E388" s="20">
        <v>125</v>
      </c>
      <c r="F388" s="16">
        <v>3165</v>
      </c>
      <c r="G388" s="20">
        <v>19781.25</v>
      </c>
      <c r="H388" s="12">
        <v>45658</v>
      </c>
    </row>
    <row r="389" spans="1:8" x14ac:dyDescent="0.25">
      <c r="A389" s="10" t="s">
        <v>11</v>
      </c>
      <c r="B389" s="10" t="s">
        <v>9</v>
      </c>
      <c r="C389" s="11" t="s">
        <v>12</v>
      </c>
      <c r="D389" s="20">
        <v>120</v>
      </c>
      <c r="E389" s="20">
        <v>125</v>
      </c>
      <c r="F389" s="16">
        <v>579</v>
      </c>
      <c r="G389" s="20">
        <v>3618.75</v>
      </c>
      <c r="H389" s="12">
        <v>45658</v>
      </c>
    </row>
    <row r="390" spans="1:8" x14ac:dyDescent="0.25">
      <c r="A390" s="10" t="s">
        <v>11</v>
      </c>
      <c r="B390" s="10" t="s">
        <v>4</v>
      </c>
      <c r="C390" s="11" t="s">
        <v>12</v>
      </c>
      <c r="D390" s="20">
        <v>120</v>
      </c>
      <c r="E390" s="20">
        <v>125</v>
      </c>
      <c r="F390" s="16">
        <v>1987</v>
      </c>
      <c r="G390" s="20">
        <v>12418.75</v>
      </c>
      <c r="H390" s="12">
        <v>45658</v>
      </c>
    </row>
    <row r="391" spans="1:8" x14ac:dyDescent="0.25">
      <c r="A391" s="10" t="s">
        <v>15</v>
      </c>
      <c r="B391" s="10" t="s">
        <v>6</v>
      </c>
      <c r="C391" s="11" t="s">
        <v>13</v>
      </c>
      <c r="D391" s="20">
        <v>10</v>
      </c>
      <c r="E391" s="20">
        <v>20</v>
      </c>
      <c r="F391" s="16">
        <v>1321</v>
      </c>
      <c r="G391" s="20">
        <v>0</v>
      </c>
      <c r="H391" s="12">
        <v>45658</v>
      </c>
    </row>
    <row r="392" spans="1:8" x14ac:dyDescent="0.25">
      <c r="A392" s="10" t="s">
        <v>15</v>
      </c>
      <c r="B392" s="10" t="s">
        <v>9</v>
      </c>
      <c r="C392" s="11" t="s">
        <v>13</v>
      </c>
      <c r="D392" s="20">
        <v>10</v>
      </c>
      <c r="E392" s="20">
        <v>20</v>
      </c>
      <c r="F392" s="16">
        <v>1117</v>
      </c>
      <c r="G392" s="20">
        <v>1117</v>
      </c>
      <c r="H392" s="12">
        <v>45658</v>
      </c>
    </row>
    <row r="393" spans="1:8" x14ac:dyDescent="0.25">
      <c r="A393" s="10" t="s">
        <v>15</v>
      </c>
      <c r="B393" s="10" t="s">
        <v>7</v>
      </c>
      <c r="C393" s="11" t="s">
        <v>13</v>
      </c>
      <c r="D393" s="20">
        <v>10</v>
      </c>
      <c r="E393" s="20">
        <v>20</v>
      </c>
      <c r="F393" s="16">
        <v>2521</v>
      </c>
      <c r="G393" s="20">
        <v>2521</v>
      </c>
      <c r="H393" s="12">
        <v>45658</v>
      </c>
    </row>
    <row r="394" spans="1:8" x14ac:dyDescent="0.25">
      <c r="A394" s="10" t="s">
        <v>15</v>
      </c>
      <c r="B394" s="10" t="s">
        <v>9</v>
      </c>
      <c r="C394" s="11" t="s">
        <v>5</v>
      </c>
      <c r="D394" s="20">
        <v>5</v>
      </c>
      <c r="E394" s="20">
        <v>7</v>
      </c>
      <c r="F394" s="16">
        <v>1438</v>
      </c>
      <c r="G394" s="20">
        <v>503.3</v>
      </c>
      <c r="H394" s="12">
        <v>45658</v>
      </c>
    </row>
    <row r="395" spans="1:8" x14ac:dyDescent="0.25">
      <c r="A395" s="10" t="s">
        <v>28</v>
      </c>
      <c r="B395" s="10" t="s">
        <v>4</v>
      </c>
      <c r="C395" s="11" t="s">
        <v>5</v>
      </c>
      <c r="D395" s="20">
        <v>5</v>
      </c>
      <c r="E395" s="20">
        <v>7</v>
      </c>
      <c r="F395" s="16">
        <v>1493</v>
      </c>
      <c r="G395" s="20">
        <v>0</v>
      </c>
      <c r="H395" s="12">
        <v>45658</v>
      </c>
    </row>
    <row r="396" spans="1:8" x14ac:dyDescent="0.25">
      <c r="A396" s="10" t="s">
        <v>44</v>
      </c>
      <c r="B396" s="10" t="s">
        <v>10</v>
      </c>
      <c r="C396" s="11" t="s">
        <v>5</v>
      </c>
      <c r="D396" s="20">
        <v>10</v>
      </c>
      <c r="E396" s="20">
        <v>15</v>
      </c>
      <c r="F396" s="16">
        <v>384</v>
      </c>
      <c r="G396" s="20">
        <v>288</v>
      </c>
      <c r="H396" s="12">
        <v>45658</v>
      </c>
    </row>
    <row r="397" spans="1:8" x14ac:dyDescent="0.25">
      <c r="A397" s="10" t="s">
        <v>44</v>
      </c>
      <c r="B397" s="10" t="s">
        <v>6</v>
      </c>
      <c r="C397" s="11" t="s">
        <v>5</v>
      </c>
      <c r="D397" s="20">
        <v>10</v>
      </c>
      <c r="E397" s="20">
        <v>15</v>
      </c>
      <c r="F397" s="16">
        <v>681</v>
      </c>
      <c r="G397" s="20">
        <v>510.75</v>
      </c>
      <c r="H397" s="12">
        <v>45658</v>
      </c>
    </row>
    <row r="398" spans="1:8" x14ac:dyDescent="0.25">
      <c r="A398" s="10" t="s">
        <v>44</v>
      </c>
      <c r="B398" s="10" t="s">
        <v>9</v>
      </c>
      <c r="C398" s="11" t="s">
        <v>5</v>
      </c>
      <c r="D398" s="20">
        <v>10</v>
      </c>
      <c r="E398" s="20">
        <v>15</v>
      </c>
      <c r="F398" s="16">
        <v>555</v>
      </c>
      <c r="G398" s="20">
        <v>416.25</v>
      </c>
      <c r="H398" s="12">
        <v>45658</v>
      </c>
    </row>
    <row r="399" spans="1:8" x14ac:dyDescent="0.25">
      <c r="A399" s="10" t="s">
        <v>44</v>
      </c>
      <c r="B399" s="10" t="s">
        <v>4</v>
      </c>
      <c r="C399" s="11" t="s">
        <v>5</v>
      </c>
      <c r="D399" s="20">
        <v>10</v>
      </c>
      <c r="E399" s="20">
        <v>15</v>
      </c>
      <c r="F399" s="16">
        <v>2861</v>
      </c>
      <c r="G399" s="20">
        <v>2145.75</v>
      </c>
      <c r="H399" s="12">
        <v>45658</v>
      </c>
    </row>
    <row r="400" spans="1:8" x14ac:dyDescent="0.25">
      <c r="A400" s="10" t="s">
        <v>44</v>
      </c>
      <c r="B400" s="10" t="s">
        <v>7</v>
      </c>
      <c r="C400" s="11" t="s">
        <v>5</v>
      </c>
      <c r="D400" s="20">
        <v>10</v>
      </c>
      <c r="E400" s="20">
        <v>15</v>
      </c>
      <c r="F400" s="16">
        <v>3997</v>
      </c>
      <c r="G400" s="20">
        <v>2997.75</v>
      </c>
      <c r="H400" s="12">
        <v>45658</v>
      </c>
    </row>
    <row r="401" spans="1:8" x14ac:dyDescent="0.25">
      <c r="A401" s="10" t="s">
        <v>28</v>
      </c>
      <c r="B401" s="10" t="s">
        <v>9</v>
      </c>
      <c r="C401" s="11" t="s">
        <v>5</v>
      </c>
      <c r="D401" s="20">
        <v>250</v>
      </c>
      <c r="E401" s="20">
        <v>300</v>
      </c>
      <c r="F401" s="16">
        <v>3495</v>
      </c>
      <c r="G401" s="20">
        <v>52425</v>
      </c>
      <c r="H401" s="12">
        <v>45658</v>
      </c>
    </row>
    <row r="402" spans="1:8" x14ac:dyDescent="0.25">
      <c r="A402" s="10" t="s">
        <v>17</v>
      </c>
      <c r="B402" s="10" t="s">
        <v>4</v>
      </c>
      <c r="C402" s="11" t="s">
        <v>14</v>
      </c>
      <c r="D402" s="20">
        <v>3</v>
      </c>
      <c r="E402" s="20">
        <v>12</v>
      </c>
      <c r="F402" s="16">
        <v>2340</v>
      </c>
      <c r="G402" s="20">
        <v>1404</v>
      </c>
      <c r="H402" s="12">
        <v>45658</v>
      </c>
    </row>
    <row r="403" spans="1:8" x14ac:dyDescent="0.25">
      <c r="A403" s="10" t="s">
        <v>15</v>
      </c>
      <c r="B403" s="10" t="s">
        <v>6</v>
      </c>
      <c r="C403" s="11" t="s">
        <v>14</v>
      </c>
      <c r="D403" s="20">
        <v>5</v>
      </c>
      <c r="E403" s="20">
        <v>7</v>
      </c>
      <c r="F403" s="16">
        <v>200</v>
      </c>
      <c r="G403" s="20">
        <v>70</v>
      </c>
      <c r="H403" s="12">
        <v>45658</v>
      </c>
    </row>
    <row r="404" spans="1:8" x14ac:dyDescent="0.25">
      <c r="A404" s="10" t="s">
        <v>28</v>
      </c>
      <c r="B404" s="10" t="s">
        <v>6</v>
      </c>
      <c r="C404" s="11" t="s">
        <v>14</v>
      </c>
      <c r="D404" s="20">
        <v>250</v>
      </c>
      <c r="E404" s="20">
        <v>300</v>
      </c>
      <c r="F404" s="16">
        <v>807</v>
      </c>
      <c r="G404" s="20">
        <v>12105</v>
      </c>
      <c r="H404" s="12">
        <v>45658</v>
      </c>
    </row>
    <row r="405" spans="1:8" x14ac:dyDescent="0.25">
      <c r="A405" s="10" t="s">
        <v>15</v>
      </c>
      <c r="B405" s="10" t="s">
        <v>10</v>
      </c>
      <c r="C405" s="11" t="s">
        <v>14</v>
      </c>
      <c r="D405" s="20">
        <v>260</v>
      </c>
      <c r="E405" s="20">
        <v>350</v>
      </c>
      <c r="F405" s="16">
        <v>2227</v>
      </c>
      <c r="G405" s="20">
        <v>38972.5</v>
      </c>
      <c r="H405" s="12">
        <v>45658</v>
      </c>
    </row>
    <row r="406" spans="1:8" x14ac:dyDescent="0.25">
      <c r="A406" s="10" t="s">
        <v>15</v>
      </c>
      <c r="B406" s="10" t="s">
        <v>6</v>
      </c>
      <c r="C406" s="11" t="s">
        <v>14</v>
      </c>
      <c r="D406" s="20">
        <v>260</v>
      </c>
      <c r="E406" s="20">
        <v>350</v>
      </c>
      <c r="F406" s="16">
        <v>766</v>
      </c>
      <c r="G406" s="20">
        <v>13405</v>
      </c>
      <c r="H406" s="12">
        <v>45658</v>
      </c>
    </row>
    <row r="407" spans="1:8" x14ac:dyDescent="0.25">
      <c r="A407" s="10" t="s">
        <v>15</v>
      </c>
      <c r="B407" s="10" t="s">
        <v>9</v>
      </c>
      <c r="C407" s="11" t="s">
        <v>14</v>
      </c>
      <c r="D407" s="20">
        <v>260</v>
      </c>
      <c r="E407" s="20">
        <v>350</v>
      </c>
      <c r="F407" s="16">
        <v>982</v>
      </c>
      <c r="G407" s="20">
        <v>17185</v>
      </c>
      <c r="H407" s="12">
        <v>45658</v>
      </c>
    </row>
    <row r="408" spans="1:8" x14ac:dyDescent="0.25">
      <c r="A408" s="10" t="s">
        <v>17</v>
      </c>
      <c r="B408" s="10" t="s">
        <v>7</v>
      </c>
      <c r="C408" s="11" t="s">
        <v>14</v>
      </c>
      <c r="D408" s="20">
        <v>260</v>
      </c>
      <c r="E408" s="20">
        <v>350</v>
      </c>
      <c r="F408" s="16">
        <v>1384</v>
      </c>
      <c r="G408" s="20">
        <v>24220</v>
      </c>
      <c r="H408" s="12">
        <v>45658</v>
      </c>
    </row>
    <row r="409" spans="1:8" x14ac:dyDescent="0.25">
      <c r="A409" s="10" t="s">
        <v>17</v>
      </c>
      <c r="B409" s="10" t="s">
        <v>9</v>
      </c>
      <c r="C409" s="11" t="s">
        <v>8</v>
      </c>
      <c r="D409" s="20">
        <v>3</v>
      </c>
      <c r="E409" s="20">
        <v>12</v>
      </c>
      <c r="F409" s="16">
        <v>1956</v>
      </c>
      <c r="G409" s="20">
        <v>1173.6000000000001</v>
      </c>
      <c r="H409" s="12">
        <v>45658</v>
      </c>
    </row>
    <row r="410" spans="1:8" x14ac:dyDescent="0.25">
      <c r="A410" s="10" t="s">
        <v>15</v>
      </c>
      <c r="B410" s="10" t="s">
        <v>10</v>
      </c>
      <c r="C410" s="11" t="s">
        <v>8</v>
      </c>
      <c r="D410" s="20">
        <v>5</v>
      </c>
      <c r="E410" s="20">
        <v>7</v>
      </c>
      <c r="F410" s="16">
        <v>300</v>
      </c>
      <c r="G410" s="20">
        <v>105</v>
      </c>
      <c r="H410" s="12">
        <v>45658</v>
      </c>
    </row>
    <row r="411" spans="1:8" x14ac:dyDescent="0.25">
      <c r="A411" s="10" t="s">
        <v>17</v>
      </c>
      <c r="B411" s="10" t="s">
        <v>7</v>
      </c>
      <c r="C411" s="11" t="s">
        <v>8</v>
      </c>
      <c r="D411" s="20">
        <v>5</v>
      </c>
      <c r="E411" s="20">
        <v>7</v>
      </c>
      <c r="F411" s="16">
        <v>168</v>
      </c>
      <c r="G411" s="20">
        <v>138.07499999999999</v>
      </c>
      <c r="H411" s="12">
        <v>45658</v>
      </c>
    </row>
    <row r="412" spans="1:8" x14ac:dyDescent="0.25">
      <c r="A412" s="10" t="s">
        <v>28</v>
      </c>
      <c r="B412" s="10" t="s">
        <v>10</v>
      </c>
      <c r="C412" s="11" t="s">
        <v>8</v>
      </c>
      <c r="D412" s="20">
        <v>250</v>
      </c>
      <c r="E412" s="20">
        <v>300</v>
      </c>
      <c r="F412" s="16">
        <v>873</v>
      </c>
      <c r="G412" s="20">
        <v>13095</v>
      </c>
      <c r="H412" s="12">
        <v>45658</v>
      </c>
    </row>
    <row r="413" spans="1:8" x14ac:dyDescent="0.25">
      <c r="A413" s="10" t="s">
        <v>28</v>
      </c>
      <c r="B413" s="10" t="s">
        <v>4</v>
      </c>
      <c r="C413" s="11" t="s">
        <v>8</v>
      </c>
      <c r="D413" s="20">
        <v>250</v>
      </c>
      <c r="E413" s="20">
        <v>300</v>
      </c>
      <c r="F413" s="16">
        <v>2565</v>
      </c>
      <c r="G413" s="20">
        <v>38475</v>
      </c>
      <c r="H413" s="12">
        <v>45658</v>
      </c>
    </row>
    <row r="414" spans="1:8" x14ac:dyDescent="0.25">
      <c r="A414" s="10" t="s">
        <v>28</v>
      </c>
      <c r="B414" s="10" t="s">
        <v>7</v>
      </c>
      <c r="C414" s="11" t="s">
        <v>8</v>
      </c>
      <c r="D414" s="20">
        <v>250</v>
      </c>
      <c r="E414" s="20">
        <v>300</v>
      </c>
      <c r="F414" s="16">
        <v>2434</v>
      </c>
      <c r="G414" s="20">
        <v>36510</v>
      </c>
      <c r="H414" s="12">
        <v>45658</v>
      </c>
    </row>
    <row r="415" spans="1:8" x14ac:dyDescent="0.25">
      <c r="A415" s="10" t="s">
        <v>28</v>
      </c>
      <c r="B415" s="10" t="s">
        <v>4</v>
      </c>
      <c r="C415" s="11" t="s">
        <v>8</v>
      </c>
      <c r="D415" s="20">
        <v>260</v>
      </c>
      <c r="E415" s="20">
        <v>350</v>
      </c>
      <c r="F415" s="16">
        <v>2417</v>
      </c>
      <c r="G415" s="20">
        <v>42297.5</v>
      </c>
      <c r="H415" s="12">
        <v>45658</v>
      </c>
    </row>
    <row r="416" spans="1:8" x14ac:dyDescent="0.25">
      <c r="A416" s="10" t="s">
        <v>17</v>
      </c>
      <c r="B416" s="10" t="s">
        <v>10</v>
      </c>
      <c r="C416" s="11" t="s">
        <v>16</v>
      </c>
      <c r="D416" s="20">
        <v>3</v>
      </c>
      <c r="E416" s="20">
        <v>12</v>
      </c>
      <c r="F416" s="16">
        <v>3244</v>
      </c>
      <c r="G416" s="20">
        <v>1946.4</v>
      </c>
      <c r="H416" s="12">
        <v>45658</v>
      </c>
    </row>
    <row r="417" spans="1:8" x14ac:dyDescent="0.25">
      <c r="A417" s="10" t="s">
        <v>17</v>
      </c>
      <c r="B417" s="10" t="s">
        <v>6</v>
      </c>
      <c r="C417" s="11" t="s">
        <v>16</v>
      </c>
      <c r="D417" s="20">
        <v>3</v>
      </c>
      <c r="E417" s="20">
        <v>12</v>
      </c>
      <c r="F417" s="16">
        <v>2479</v>
      </c>
      <c r="G417" s="20">
        <v>1487.4</v>
      </c>
      <c r="H417" s="12">
        <v>45658</v>
      </c>
    </row>
    <row r="418" spans="1:8" x14ac:dyDescent="0.25">
      <c r="A418" s="10" t="s">
        <v>17</v>
      </c>
      <c r="B418" s="10" t="s">
        <v>7</v>
      </c>
      <c r="C418" s="11" t="s">
        <v>16</v>
      </c>
      <c r="D418" s="20">
        <v>3</v>
      </c>
      <c r="E418" s="20">
        <v>12</v>
      </c>
      <c r="F418" s="16">
        <v>1734</v>
      </c>
      <c r="G418" s="20">
        <v>1040.4000000000001</v>
      </c>
      <c r="H418" s="12">
        <v>45658</v>
      </c>
    </row>
    <row r="419" spans="1:8" x14ac:dyDescent="0.25">
      <c r="A419" s="10" t="s">
        <v>11</v>
      </c>
      <c r="B419" s="10" t="s">
        <v>4</v>
      </c>
      <c r="C419" s="11" t="s">
        <v>16</v>
      </c>
      <c r="D419" s="20">
        <v>120</v>
      </c>
      <c r="E419" s="20">
        <v>125</v>
      </c>
      <c r="F419" s="16">
        <v>554</v>
      </c>
      <c r="G419" s="20">
        <v>3462.5</v>
      </c>
      <c r="H419" s="12">
        <v>45658</v>
      </c>
    </row>
    <row r="420" spans="1:8" x14ac:dyDescent="0.25">
      <c r="A420" s="10" t="s">
        <v>15</v>
      </c>
      <c r="B420" s="10" t="s">
        <v>10</v>
      </c>
      <c r="C420" s="11" t="s">
        <v>12</v>
      </c>
      <c r="D420" s="20">
        <v>260</v>
      </c>
      <c r="E420" s="20">
        <v>350</v>
      </c>
      <c r="F420" s="16">
        <v>240</v>
      </c>
      <c r="G420" s="20">
        <v>0</v>
      </c>
      <c r="H420" s="12">
        <v>45689</v>
      </c>
    </row>
    <row r="421" spans="1:8" x14ac:dyDescent="0.25">
      <c r="A421" s="10" t="s">
        <v>15</v>
      </c>
      <c r="B421" s="10" t="s">
        <v>6</v>
      </c>
      <c r="C421" s="11" t="s">
        <v>12</v>
      </c>
      <c r="D421" s="20">
        <v>260</v>
      </c>
      <c r="E421" s="20">
        <v>350</v>
      </c>
      <c r="F421" s="16">
        <v>1350</v>
      </c>
      <c r="G421" s="20">
        <v>23625</v>
      </c>
      <c r="H421" s="12">
        <v>45689</v>
      </c>
    </row>
    <row r="422" spans="1:8" x14ac:dyDescent="0.25">
      <c r="A422" s="10" t="s">
        <v>15</v>
      </c>
      <c r="B422" s="10" t="s">
        <v>9</v>
      </c>
      <c r="C422" s="11" t="s">
        <v>12</v>
      </c>
      <c r="D422" s="20">
        <v>260</v>
      </c>
      <c r="E422" s="20">
        <v>350</v>
      </c>
      <c r="F422" s="16">
        <v>270</v>
      </c>
      <c r="G422" s="20">
        <v>4725</v>
      </c>
      <c r="H422" s="12">
        <v>45689</v>
      </c>
    </row>
    <row r="423" spans="1:8" x14ac:dyDescent="0.25">
      <c r="A423" s="10" t="s">
        <v>28</v>
      </c>
      <c r="B423" s="10" t="s">
        <v>4</v>
      </c>
      <c r="C423" s="11" t="s">
        <v>12</v>
      </c>
      <c r="D423" s="20">
        <v>260</v>
      </c>
      <c r="E423" s="20">
        <v>350</v>
      </c>
      <c r="F423" s="16">
        <v>1865</v>
      </c>
      <c r="G423" s="20">
        <v>32637.5</v>
      </c>
      <c r="H423" s="12">
        <v>45689</v>
      </c>
    </row>
    <row r="424" spans="1:8" x14ac:dyDescent="0.25">
      <c r="A424" s="10" t="s">
        <v>17</v>
      </c>
      <c r="B424" s="10" t="s">
        <v>7</v>
      </c>
      <c r="C424" s="11" t="s">
        <v>12</v>
      </c>
      <c r="D424" s="20">
        <v>260</v>
      </c>
      <c r="E424" s="20">
        <v>350</v>
      </c>
      <c r="F424" s="16">
        <v>750</v>
      </c>
      <c r="G424" s="20">
        <v>0</v>
      </c>
      <c r="H424" s="12">
        <v>45689</v>
      </c>
    </row>
    <row r="425" spans="1:8" x14ac:dyDescent="0.25">
      <c r="A425" s="10" t="s">
        <v>17</v>
      </c>
      <c r="B425" s="10" t="s">
        <v>10</v>
      </c>
      <c r="C425" s="11" t="s">
        <v>13</v>
      </c>
      <c r="D425" s="20">
        <v>3</v>
      </c>
      <c r="E425" s="20">
        <v>12</v>
      </c>
      <c r="F425" s="16">
        <v>1937</v>
      </c>
      <c r="G425" s="20">
        <v>1162.2</v>
      </c>
      <c r="H425" s="12">
        <v>45689</v>
      </c>
    </row>
    <row r="426" spans="1:8" x14ac:dyDescent="0.25">
      <c r="A426" s="10" t="s">
        <v>17</v>
      </c>
      <c r="B426" s="10" t="s">
        <v>6</v>
      </c>
      <c r="C426" s="11" t="s">
        <v>13</v>
      </c>
      <c r="D426" s="20">
        <v>3</v>
      </c>
      <c r="E426" s="20">
        <v>12</v>
      </c>
      <c r="F426" s="16">
        <v>1116</v>
      </c>
      <c r="G426" s="20">
        <v>669.6</v>
      </c>
      <c r="H426" s="12">
        <v>45689</v>
      </c>
    </row>
    <row r="427" spans="1:8" x14ac:dyDescent="0.25">
      <c r="A427" s="10" t="s">
        <v>17</v>
      </c>
      <c r="B427" s="10" t="s">
        <v>9</v>
      </c>
      <c r="C427" s="11" t="s">
        <v>13</v>
      </c>
      <c r="D427" s="20">
        <v>3</v>
      </c>
      <c r="E427" s="20">
        <v>12</v>
      </c>
      <c r="F427" s="16">
        <v>1858</v>
      </c>
      <c r="G427" s="20">
        <v>111.48</v>
      </c>
      <c r="H427" s="12">
        <v>45689</v>
      </c>
    </row>
    <row r="428" spans="1:8" x14ac:dyDescent="0.25">
      <c r="A428" s="10" t="s">
        <v>17</v>
      </c>
      <c r="B428" s="10" t="s">
        <v>4</v>
      </c>
      <c r="C428" s="11" t="s">
        <v>13</v>
      </c>
      <c r="D428" s="20">
        <v>3</v>
      </c>
      <c r="E428" s="20">
        <v>12</v>
      </c>
      <c r="F428" s="16">
        <v>727</v>
      </c>
      <c r="G428" s="20">
        <v>436.20000000000005</v>
      </c>
      <c r="H428" s="12">
        <v>45689</v>
      </c>
    </row>
    <row r="429" spans="1:8" x14ac:dyDescent="0.25">
      <c r="A429" s="10" t="s">
        <v>17</v>
      </c>
      <c r="B429" s="10" t="s">
        <v>7</v>
      </c>
      <c r="C429" s="11" t="s">
        <v>13</v>
      </c>
      <c r="D429" s="20">
        <v>3</v>
      </c>
      <c r="E429" s="20">
        <v>12</v>
      </c>
      <c r="F429" s="16">
        <v>1865</v>
      </c>
      <c r="G429" s="20">
        <v>1119</v>
      </c>
      <c r="H429" s="12">
        <v>45689</v>
      </c>
    </row>
    <row r="430" spans="1:8" x14ac:dyDescent="0.25">
      <c r="A430" s="10" t="s">
        <v>44</v>
      </c>
      <c r="B430" s="10" t="s">
        <v>9</v>
      </c>
      <c r="C430" s="11" t="s">
        <v>5</v>
      </c>
      <c r="D430" s="20">
        <v>10</v>
      </c>
      <c r="E430" s="20">
        <v>15</v>
      </c>
      <c r="F430" s="16">
        <v>1514</v>
      </c>
      <c r="G430" s="20">
        <v>113.55</v>
      </c>
      <c r="H430" s="12">
        <v>45689</v>
      </c>
    </row>
    <row r="431" spans="1:8" x14ac:dyDescent="0.25">
      <c r="A431" s="10" t="s">
        <v>15</v>
      </c>
      <c r="B431" s="10" t="s">
        <v>9</v>
      </c>
      <c r="C431" s="11" t="s">
        <v>5</v>
      </c>
      <c r="D431" s="20">
        <v>10</v>
      </c>
      <c r="E431" s="20">
        <v>20</v>
      </c>
      <c r="F431" s="16">
        <v>360</v>
      </c>
      <c r="G431" s="20">
        <v>360</v>
      </c>
      <c r="H431" s="12">
        <v>45689</v>
      </c>
    </row>
    <row r="432" spans="1:8" x14ac:dyDescent="0.25">
      <c r="A432" s="10" t="s">
        <v>11</v>
      </c>
      <c r="B432" s="10" t="s">
        <v>10</v>
      </c>
      <c r="C432" s="11" t="s">
        <v>5</v>
      </c>
      <c r="D432" s="20">
        <v>120</v>
      </c>
      <c r="E432" s="20">
        <v>125</v>
      </c>
      <c r="F432" s="16">
        <v>952</v>
      </c>
      <c r="G432" s="20">
        <v>5950</v>
      </c>
      <c r="H432" s="12">
        <v>45689</v>
      </c>
    </row>
    <row r="433" spans="1:8" x14ac:dyDescent="0.25">
      <c r="A433" s="10" t="s">
        <v>11</v>
      </c>
      <c r="B433" s="10" t="s">
        <v>6</v>
      </c>
      <c r="C433" s="11" t="s">
        <v>5</v>
      </c>
      <c r="D433" s="20">
        <v>120</v>
      </c>
      <c r="E433" s="20">
        <v>125</v>
      </c>
      <c r="F433" s="16">
        <v>807</v>
      </c>
      <c r="G433" s="20">
        <v>5043.75</v>
      </c>
      <c r="H433" s="12">
        <v>45689</v>
      </c>
    </row>
    <row r="434" spans="1:8" x14ac:dyDescent="0.25">
      <c r="A434" s="10" t="s">
        <v>11</v>
      </c>
      <c r="B434" s="10" t="s">
        <v>9</v>
      </c>
      <c r="C434" s="11" t="s">
        <v>5</v>
      </c>
      <c r="D434" s="20">
        <v>120</v>
      </c>
      <c r="E434" s="20">
        <v>125</v>
      </c>
      <c r="F434" s="16">
        <v>2755</v>
      </c>
      <c r="G434" s="20">
        <v>17218.75</v>
      </c>
      <c r="H434" s="12">
        <v>45689</v>
      </c>
    </row>
    <row r="435" spans="1:8" x14ac:dyDescent="0.25">
      <c r="A435" s="10" t="s">
        <v>11</v>
      </c>
      <c r="B435" s="10" t="s">
        <v>4</v>
      </c>
      <c r="C435" s="11" t="s">
        <v>5</v>
      </c>
      <c r="D435" s="20">
        <v>120</v>
      </c>
      <c r="E435" s="20">
        <v>125</v>
      </c>
      <c r="F435" s="16">
        <v>1804</v>
      </c>
      <c r="G435" s="20">
        <v>0</v>
      </c>
      <c r="H435" s="12">
        <v>45689</v>
      </c>
    </row>
    <row r="436" spans="1:8" x14ac:dyDescent="0.25">
      <c r="A436" s="10" t="s">
        <v>11</v>
      </c>
      <c r="B436" s="10" t="s">
        <v>4</v>
      </c>
      <c r="C436" s="11" t="s">
        <v>5</v>
      </c>
      <c r="D436" s="20">
        <v>120</v>
      </c>
      <c r="E436" s="20">
        <v>125</v>
      </c>
      <c r="F436" s="16">
        <v>1575</v>
      </c>
      <c r="G436" s="20">
        <v>9843.75</v>
      </c>
      <c r="H436" s="12">
        <v>45689</v>
      </c>
    </row>
    <row r="437" spans="1:8" x14ac:dyDescent="0.25">
      <c r="A437" s="10" t="s">
        <v>15</v>
      </c>
      <c r="B437" s="10" t="s">
        <v>10</v>
      </c>
      <c r="C437" s="11" t="s">
        <v>14</v>
      </c>
      <c r="D437" s="20">
        <v>5</v>
      </c>
      <c r="E437" s="20">
        <v>7</v>
      </c>
      <c r="F437" s="16">
        <v>488</v>
      </c>
      <c r="G437" s="20">
        <v>136.63999999999999</v>
      </c>
      <c r="H437" s="12">
        <v>45689</v>
      </c>
    </row>
    <row r="438" spans="1:8" x14ac:dyDescent="0.25">
      <c r="A438" s="10" t="s">
        <v>15</v>
      </c>
      <c r="B438" s="10" t="s">
        <v>6</v>
      </c>
      <c r="C438" s="11" t="s">
        <v>14</v>
      </c>
      <c r="D438" s="20">
        <v>5</v>
      </c>
      <c r="E438" s="20">
        <v>7</v>
      </c>
      <c r="F438" s="16">
        <v>958</v>
      </c>
      <c r="G438" s="20">
        <v>335.3</v>
      </c>
      <c r="H438" s="12">
        <v>45689</v>
      </c>
    </row>
    <row r="439" spans="1:8" x14ac:dyDescent="0.25">
      <c r="A439" s="10" t="s">
        <v>15</v>
      </c>
      <c r="B439" s="10" t="s">
        <v>9</v>
      </c>
      <c r="C439" s="11" t="s">
        <v>14</v>
      </c>
      <c r="D439" s="20">
        <v>5</v>
      </c>
      <c r="E439" s="20">
        <v>7</v>
      </c>
      <c r="F439" s="16">
        <v>298</v>
      </c>
      <c r="G439" s="20">
        <v>104.30000000000001</v>
      </c>
      <c r="H439" s="12">
        <v>45689</v>
      </c>
    </row>
    <row r="440" spans="1:8" x14ac:dyDescent="0.25">
      <c r="A440" s="10" t="s">
        <v>28</v>
      </c>
      <c r="B440" s="10" t="s">
        <v>4</v>
      </c>
      <c r="C440" s="11" t="s">
        <v>14</v>
      </c>
      <c r="D440" s="20">
        <v>5</v>
      </c>
      <c r="E440" s="20">
        <v>7</v>
      </c>
      <c r="F440" s="16">
        <v>1368</v>
      </c>
      <c r="G440" s="20">
        <v>478.8</v>
      </c>
      <c r="H440" s="12">
        <v>45689</v>
      </c>
    </row>
    <row r="441" spans="1:8" x14ac:dyDescent="0.25">
      <c r="A441" s="10" t="s">
        <v>17</v>
      </c>
      <c r="B441" s="10" t="s">
        <v>7</v>
      </c>
      <c r="C441" s="11" t="s">
        <v>14</v>
      </c>
      <c r="D441" s="20">
        <v>5</v>
      </c>
      <c r="E441" s="20">
        <v>7</v>
      </c>
      <c r="F441" s="16">
        <v>293</v>
      </c>
      <c r="G441" s="20">
        <v>0</v>
      </c>
      <c r="H441" s="12">
        <v>45689</v>
      </c>
    </row>
    <row r="442" spans="1:8" x14ac:dyDescent="0.25">
      <c r="A442" s="10" t="s">
        <v>44</v>
      </c>
      <c r="B442" s="10" t="s">
        <v>6</v>
      </c>
      <c r="C442" s="11" t="s">
        <v>14</v>
      </c>
      <c r="D442" s="20">
        <v>10</v>
      </c>
      <c r="E442" s="20">
        <v>15</v>
      </c>
      <c r="F442" s="16">
        <v>278</v>
      </c>
      <c r="G442" s="20">
        <v>0</v>
      </c>
      <c r="H442" s="12">
        <v>45689</v>
      </c>
    </row>
    <row r="443" spans="1:8" x14ac:dyDescent="0.25">
      <c r="A443" s="10" t="s">
        <v>15</v>
      </c>
      <c r="B443" s="10" t="s">
        <v>6</v>
      </c>
      <c r="C443" s="11" t="s">
        <v>14</v>
      </c>
      <c r="D443" s="20">
        <v>10</v>
      </c>
      <c r="E443" s="20">
        <v>20</v>
      </c>
      <c r="F443" s="16">
        <v>570</v>
      </c>
      <c r="G443" s="20">
        <v>570</v>
      </c>
      <c r="H443" s="12">
        <v>45689</v>
      </c>
    </row>
    <row r="444" spans="1:8" x14ac:dyDescent="0.25">
      <c r="A444" s="10" t="s">
        <v>44</v>
      </c>
      <c r="B444" s="10" t="s">
        <v>10</v>
      </c>
      <c r="C444" s="11" t="s">
        <v>8</v>
      </c>
      <c r="D444" s="20">
        <v>10</v>
      </c>
      <c r="E444" s="20">
        <v>15</v>
      </c>
      <c r="F444" s="16">
        <v>2363</v>
      </c>
      <c r="G444" s="20">
        <v>1772.25</v>
      </c>
      <c r="H444" s="12">
        <v>45689</v>
      </c>
    </row>
    <row r="445" spans="1:8" x14ac:dyDescent="0.25">
      <c r="A445" s="10" t="s">
        <v>15</v>
      </c>
      <c r="B445" s="10" t="s">
        <v>10</v>
      </c>
      <c r="C445" s="11" t="s">
        <v>8</v>
      </c>
      <c r="D445" s="20">
        <v>10</v>
      </c>
      <c r="E445" s="20">
        <v>20</v>
      </c>
      <c r="F445" s="16">
        <v>292</v>
      </c>
      <c r="G445" s="20">
        <v>0</v>
      </c>
      <c r="H445" s="12">
        <v>45689</v>
      </c>
    </row>
    <row r="446" spans="1:8" x14ac:dyDescent="0.25">
      <c r="A446" s="10" t="s">
        <v>44</v>
      </c>
      <c r="B446" s="10" t="s">
        <v>4</v>
      </c>
      <c r="C446" s="11" t="s">
        <v>8</v>
      </c>
      <c r="D446" s="20">
        <v>10</v>
      </c>
      <c r="E446" s="20">
        <v>15</v>
      </c>
      <c r="F446" s="16">
        <v>974</v>
      </c>
      <c r="G446" s="20">
        <v>0</v>
      </c>
      <c r="H446" s="12">
        <v>45689</v>
      </c>
    </row>
    <row r="447" spans="1:8" x14ac:dyDescent="0.25">
      <c r="A447" s="10" t="s">
        <v>15</v>
      </c>
      <c r="B447" s="10" t="s">
        <v>4</v>
      </c>
      <c r="C447" s="11" t="s">
        <v>8</v>
      </c>
      <c r="D447" s="20">
        <v>10</v>
      </c>
      <c r="E447" s="20">
        <v>20</v>
      </c>
      <c r="F447" s="16">
        <v>260</v>
      </c>
      <c r="G447" s="20">
        <v>260</v>
      </c>
      <c r="H447" s="12">
        <v>45689</v>
      </c>
    </row>
    <row r="448" spans="1:8" x14ac:dyDescent="0.25">
      <c r="A448" s="10" t="s">
        <v>44</v>
      </c>
      <c r="B448" s="10" t="s">
        <v>7</v>
      </c>
      <c r="C448" s="11" t="s">
        <v>8</v>
      </c>
      <c r="D448" s="20">
        <v>10</v>
      </c>
      <c r="E448" s="20">
        <v>15</v>
      </c>
      <c r="F448" s="16">
        <v>2296</v>
      </c>
      <c r="G448" s="20">
        <v>1722</v>
      </c>
      <c r="H448" s="12">
        <v>45689</v>
      </c>
    </row>
    <row r="449" spans="1:8" x14ac:dyDescent="0.25">
      <c r="A449" s="10" t="s">
        <v>17</v>
      </c>
      <c r="B449" s="10" t="s">
        <v>7</v>
      </c>
      <c r="C449" s="11" t="s">
        <v>8</v>
      </c>
      <c r="D449" s="20">
        <v>10</v>
      </c>
      <c r="E449" s="20">
        <v>20</v>
      </c>
      <c r="F449" s="16">
        <v>1303</v>
      </c>
      <c r="G449" s="20">
        <v>1303</v>
      </c>
      <c r="H449" s="12">
        <v>45689</v>
      </c>
    </row>
    <row r="450" spans="1:8" x14ac:dyDescent="0.25">
      <c r="A450" s="10" t="s">
        <v>28</v>
      </c>
      <c r="B450" s="10" t="s">
        <v>9</v>
      </c>
      <c r="C450" s="11" t="s">
        <v>8</v>
      </c>
      <c r="D450" s="20">
        <v>250</v>
      </c>
      <c r="E450" s="20">
        <v>300</v>
      </c>
      <c r="F450" s="16">
        <v>2844</v>
      </c>
      <c r="G450" s="20">
        <v>42660</v>
      </c>
      <c r="H450" s="12">
        <v>45689</v>
      </c>
    </row>
    <row r="451" spans="1:8" x14ac:dyDescent="0.25">
      <c r="A451" s="10" t="s">
        <v>28</v>
      </c>
      <c r="B451" s="10" t="s">
        <v>10</v>
      </c>
      <c r="C451" s="11" t="s">
        <v>16</v>
      </c>
      <c r="D451" s="20">
        <v>250</v>
      </c>
      <c r="E451" s="20">
        <v>300</v>
      </c>
      <c r="F451" s="16">
        <v>2001</v>
      </c>
      <c r="G451" s="20">
        <v>0</v>
      </c>
      <c r="H451" s="12">
        <v>45689</v>
      </c>
    </row>
    <row r="452" spans="1:8" x14ac:dyDescent="0.25">
      <c r="A452" s="10" t="s">
        <v>28</v>
      </c>
      <c r="B452" s="10" t="s">
        <v>10</v>
      </c>
      <c r="C452" s="11" t="s">
        <v>16</v>
      </c>
      <c r="D452" s="20">
        <v>250</v>
      </c>
      <c r="E452" s="20">
        <v>300</v>
      </c>
      <c r="F452" s="16">
        <v>2659</v>
      </c>
      <c r="G452" s="20">
        <v>39885</v>
      </c>
      <c r="H452" s="12">
        <v>45689</v>
      </c>
    </row>
    <row r="453" spans="1:8" x14ac:dyDescent="0.25">
      <c r="A453" s="10" t="s">
        <v>28</v>
      </c>
      <c r="B453" s="10" t="s">
        <v>4</v>
      </c>
      <c r="C453" s="11" t="s">
        <v>16</v>
      </c>
      <c r="D453" s="20">
        <v>250</v>
      </c>
      <c r="E453" s="20">
        <v>300</v>
      </c>
      <c r="F453" s="16">
        <v>2747</v>
      </c>
      <c r="G453" s="20">
        <v>41205</v>
      </c>
      <c r="H453" s="12">
        <v>45689</v>
      </c>
    </row>
    <row r="454" spans="1:8" x14ac:dyDescent="0.25">
      <c r="A454" s="10" t="s">
        <v>28</v>
      </c>
      <c r="B454" s="10" t="s">
        <v>7</v>
      </c>
      <c r="C454" s="11" t="s">
        <v>16</v>
      </c>
      <c r="D454" s="20">
        <v>250</v>
      </c>
      <c r="E454" s="20">
        <v>300</v>
      </c>
      <c r="F454" s="16">
        <v>959</v>
      </c>
      <c r="G454" s="20">
        <v>14385</v>
      </c>
      <c r="H454" s="12">
        <v>45689</v>
      </c>
    </row>
    <row r="455" spans="1:8" x14ac:dyDescent="0.25">
      <c r="A455" s="10" t="s">
        <v>28</v>
      </c>
      <c r="B455" s="10" t="s">
        <v>10</v>
      </c>
      <c r="C455" s="11" t="s">
        <v>12</v>
      </c>
      <c r="D455" s="20">
        <v>250</v>
      </c>
      <c r="E455" s="20">
        <v>300</v>
      </c>
      <c r="F455" s="16">
        <v>888</v>
      </c>
      <c r="G455" s="20">
        <v>13320</v>
      </c>
      <c r="H455" s="12">
        <v>45717</v>
      </c>
    </row>
    <row r="456" spans="1:8" x14ac:dyDescent="0.25">
      <c r="A456" s="10" t="s">
        <v>28</v>
      </c>
      <c r="B456" s="10" t="s">
        <v>6</v>
      </c>
      <c r="C456" s="11" t="s">
        <v>12</v>
      </c>
      <c r="D456" s="20">
        <v>250</v>
      </c>
      <c r="E456" s="20">
        <v>300</v>
      </c>
      <c r="F456" s="16">
        <v>259</v>
      </c>
      <c r="G456" s="20">
        <v>3885</v>
      </c>
      <c r="H456" s="12">
        <v>45717</v>
      </c>
    </row>
    <row r="457" spans="1:8" x14ac:dyDescent="0.25">
      <c r="A457" s="10" t="s">
        <v>28</v>
      </c>
      <c r="B457" s="10" t="s">
        <v>9</v>
      </c>
      <c r="C457" s="11" t="s">
        <v>12</v>
      </c>
      <c r="D457" s="20">
        <v>250</v>
      </c>
      <c r="E457" s="20">
        <v>300</v>
      </c>
      <c r="F457" s="16">
        <v>2993</v>
      </c>
      <c r="G457" s="20">
        <v>44895</v>
      </c>
      <c r="H457" s="12">
        <v>45717</v>
      </c>
    </row>
    <row r="458" spans="1:8" x14ac:dyDescent="0.25">
      <c r="A458" s="10" t="s">
        <v>28</v>
      </c>
      <c r="B458" s="10" t="s">
        <v>4</v>
      </c>
      <c r="C458" s="11" t="s">
        <v>12</v>
      </c>
      <c r="D458" s="20">
        <v>250</v>
      </c>
      <c r="E458" s="20">
        <v>300</v>
      </c>
      <c r="F458" s="16">
        <v>1101</v>
      </c>
      <c r="G458" s="20">
        <v>16515</v>
      </c>
      <c r="H458" s="12">
        <v>45717</v>
      </c>
    </row>
    <row r="459" spans="1:8" x14ac:dyDescent="0.25">
      <c r="A459" s="10" t="s">
        <v>28</v>
      </c>
      <c r="B459" s="10" t="s">
        <v>7</v>
      </c>
      <c r="C459" s="11" t="s">
        <v>12</v>
      </c>
      <c r="D459" s="20">
        <v>250</v>
      </c>
      <c r="E459" s="20">
        <v>300</v>
      </c>
      <c r="F459" s="16">
        <v>2475</v>
      </c>
      <c r="G459" s="20">
        <v>37125</v>
      </c>
      <c r="H459" s="12">
        <v>45717</v>
      </c>
    </row>
    <row r="460" spans="1:8" x14ac:dyDescent="0.25">
      <c r="A460" s="10" t="s">
        <v>15</v>
      </c>
      <c r="B460" s="10" t="s">
        <v>10</v>
      </c>
      <c r="C460" s="11" t="s">
        <v>13</v>
      </c>
      <c r="D460" s="20">
        <v>260</v>
      </c>
      <c r="E460" s="20">
        <v>350</v>
      </c>
      <c r="F460" s="16">
        <v>923</v>
      </c>
      <c r="G460" s="20">
        <v>16152.5</v>
      </c>
      <c r="H460" s="12">
        <v>45717</v>
      </c>
    </row>
    <row r="461" spans="1:8" x14ac:dyDescent="0.25">
      <c r="A461" s="10" t="s">
        <v>15</v>
      </c>
      <c r="B461" s="10" t="s">
        <v>6</v>
      </c>
      <c r="C461" s="11" t="s">
        <v>13</v>
      </c>
      <c r="D461" s="20">
        <v>260</v>
      </c>
      <c r="E461" s="20">
        <v>350</v>
      </c>
      <c r="F461" s="16">
        <v>792</v>
      </c>
      <c r="G461" s="20">
        <v>13860</v>
      </c>
      <c r="H461" s="12">
        <v>45717</v>
      </c>
    </row>
    <row r="462" spans="1:8" x14ac:dyDescent="0.25">
      <c r="A462" s="10" t="s">
        <v>15</v>
      </c>
      <c r="B462" s="10" t="s">
        <v>9</v>
      </c>
      <c r="C462" s="11" t="s">
        <v>13</v>
      </c>
      <c r="D462" s="20">
        <v>260</v>
      </c>
      <c r="E462" s="20">
        <v>350</v>
      </c>
      <c r="F462" s="16">
        <v>1761</v>
      </c>
      <c r="G462" s="20">
        <v>30817.5</v>
      </c>
      <c r="H462" s="12">
        <v>45717</v>
      </c>
    </row>
    <row r="463" spans="1:8" x14ac:dyDescent="0.25">
      <c r="A463" s="10" t="s">
        <v>15</v>
      </c>
      <c r="B463" s="10" t="s">
        <v>4</v>
      </c>
      <c r="C463" s="11" t="s">
        <v>13</v>
      </c>
      <c r="D463" s="20">
        <v>260</v>
      </c>
      <c r="E463" s="20">
        <v>350</v>
      </c>
      <c r="F463" s="16">
        <v>1210</v>
      </c>
      <c r="G463" s="20">
        <v>21175</v>
      </c>
      <c r="H463" s="12">
        <v>45717</v>
      </c>
    </row>
    <row r="464" spans="1:8" x14ac:dyDescent="0.25">
      <c r="A464" s="10" t="s">
        <v>15</v>
      </c>
      <c r="B464" s="10" t="s">
        <v>7</v>
      </c>
      <c r="C464" s="11" t="s">
        <v>13</v>
      </c>
      <c r="D464" s="20">
        <v>260</v>
      </c>
      <c r="E464" s="20">
        <v>350</v>
      </c>
      <c r="F464" s="16">
        <v>1790</v>
      </c>
      <c r="G464" s="20">
        <v>31325</v>
      </c>
      <c r="H464" s="12">
        <v>45717</v>
      </c>
    </row>
    <row r="465" spans="1:8" x14ac:dyDescent="0.25">
      <c r="A465" s="10" t="s">
        <v>17</v>
      </c>
      <c r="B465" s="10" t="s">
        <v>10</v>
      </c>
      <c r="C465" s="11" t="s">
        <v>5</v>
      </c>
      <c r="D465" s="20">
        <v>3</v>
      </c>
      <c r="E465" s="20">
        <v>12</v>
      </c>
      <c r="F465" s="16">
        <v>598</v>
      </c>
      <c r="G465" s="20">
        <v>0</v>
      </c>
      <c r="H465" s="12">
        <v>45717</v>
      </c>
    </row>
    <row r="466" spans="1:8" x14ac:dyDescent="0.25">
      <c r="A466" s="10" t="s">
        <v>17</v>
      </c>
      <c r="B466" s="10" t="s">
        <v>6</v>
      </c>
      <c r="C466" s="11" t="s">
        <v>5</v>
      </c>
      <c r="D466" s="20">
        <v>3</v>
      </c>
      <c r="E466" s="20">
        <v>12</v>
      </c>
      <c r="F466" s="16">
        <v>2161</v>
      </c>
      <c r="G466" s="20">
        <v>0</v>
      </c>
      <c r="H466" s="12">
        <v>45717</v>
      </c>
    </row>
    <row r="467" spans="1:8" x14ac:dyDescent="0.25">
      <c r="A467" s="10" t="s">
        <v>17</v>
      </c>
      <c r="B467" s="10" t="s">
        <v>9</v>
      </c>
      <c r="C467" s="11" t="s">
        <v>5</v>
      </c>
      <c r="D467" s="20">
        <v>3</v>
      </c>
      <c r="E467" s="20">
        <v>12</v>
      </c>
      <c r="F467" s="16">
        <v>1465</v>
      </c>
      <c r="G467" s="20">
        <v>879</v>
      </c>
      <c r="H467" s="12">
        <v>45717</v>
      </c>
    </row>
    <row r="468" spans="1:8" x14ac:dyDescent="0.25">
      <c r="A468" s="10" t="s">
        <v>17</v>
      </c>
      <c r="B468" s="10" t="s">
        <v>4</v>
      </c>
      <c r="C468" s="11" t="s">
        <v>5</v>
      </c>
      <c r="D468" s="20">
        <v>3</v>
      </c>
      <c r="E468" s="20">
        <v>12</v>
      </c>
      <c r="F468" s="16">
        <v>500</v>
      </c>
      <c r="G468" s="20">
        <v>300</v>
      </c>
      <c r="H468" s="12">
        <v>45717</v>
      </c>
    </row>
    <row r="469" spans="1:8" x14ac:dyDescent="0.25">
      <c r="A469" s="10" t="s">
        <v>17</v>
      </c>
      <c r="B469" s="10" t="s">
        <v>7</v>
      </c>
      <c r="C469" s="11" t="s">
        <v>5</v>
      </c>
      <c r="D469" s="20">
        <v>3</v>
      </c>
      <c r="E469" s="20">
        <v>12</v>
      </c>
      <c r="F469" s="16">
        <v>1967</v>
      </c>
      <c r="G469" s="20">
        <v>1180.2</v>
      </c>
      <c r="H469" s="12">
        <v>45717</v>
      </c>
    </row>
    <row r="470" spans="1:8" x14ac:dyDescent="0.25">
      <c r="A470" s="10" t="s">
        <v>15</v>
      </c>
      <c r="B470" s="10" t="s">
        <v>9</v>
      </c>
      <c r="C470" s="11" t="s">
        <v>5</v>
      </c>
      <c r="D470" s="20">
        <v>10</v>
      </c>
      <c r="E470" s="20">
        <v>20</v>
      </c>
      <c r="F470" s="16">
        <v>973</v>
      </c>
      <c r="G470" s="20">
        <v>973</v>
      </c>
      <c r="H470" s="12">
        <v>45717</v>
      </c>
    </row>
    <row r="471" spans="1:8" x14ac:dyDescent="0.25">
      <c r="A471" s="10" t="s">
        <v>11</v>
      </c>
      <c r="B471" s="10" t="s">
        <v>9</v>
      </c>
      <c r="C471" s="11" t="s">
        <v>5</v>
      </c>
      <c r="D471" s="20">
        <v>120</v>
      </c>
      <c r="E471" s="20">
        <v>125</v>
      </c>
      <c r="F471" s="16">
        <v>2992</v>
      </c>
      <c r="G471" s="20">
        <v>18700</v>
      </c>
      <c r="H471" s="12">
        <v>45717</v>
      </c>
    </row>
    <row r="472" spans="1:8" x14ac:dyDescent="0.25">
      <c r="A472" s="10" t="s">
        <v>44</v>
      </c>
      <c r="B472" s="10" t="s">
        <v>10</v>
      </c>
      <c r="C472" s="11" t="s">
        <v>14</v>
      </c>
      <c r="D472" s="20">
        <v>10</v>
      </c>
      <c r="E472" s="20">
        <v>15</v>
      </c>
      <c r="F472" s="16">
        <v>1967</v>
      </c>
      <c r="G472" s="20">
        <v>1475.25</v>
      </c>
      <c r="H472" s="12">
        <v>45717</v>
      </c>
    </row>
    <row r="473" spans="1:8" x14ac:dyDescent="0.25">
      <c r="A473" s="10" t="s">
        <v>44</v>
      </c>
      <c r="B473" s="10" t="s">
        <v>6</v>
      </c>
      <c r="C473" s="11" t="s">
        <v>14</v>
      </c>
      <c r="D473" s="20">
        <v>10</v>
      </c>
      <c r="E473" s="20">
        <v>15</v>
      </c>
      <c r="F473" s="16">
        <v>921</v>
      </c>
      <c r="G473" s="20">
        <v>0</v>
      </c>
      <c r="H473" s="12">
        <v>45717</v>
      </c>
    </row>
    <row r="474" spans="1:8" x14ac:dyDescent="0.25">
      <c r="A474" s="10" t="s">
        <v>15</v>
      </c>
      <c r="B474" s="10" t="s">
        <v>6</v>
      </c>
      <c r="C474" s="11" t="s">
        <v>14</v>
      </c>
      <c r="D474" s="20">
        <v>10</v>
      </c>
      <c r="E474" s="20">
        <v>20</v>
      </c>
      <c r="F474" s="16">
        <v>1158</v>
      </c>
      <c r="G474" s="20">
        <v>1158</v>
      </c>
      <c r="H474" s="12">
        <v>45717</v>
      </c>
    </row>
    <row r="475" spans="1:8" x14ac:dyDescent="0.25">
      <c r="A475" s="10" t="s">
        <v>44</v>
      </c>
      <c r="B475" s="10" t="s">
        <v>9</v>
      </c>
      <c r="C475" s="11" t="s">
        <v>14</v>
      </c>
      <c r="D475" s="20">
        <v>10</v>
      </c>
      <c r="E475" s="20">
        <v>15</v>
      </c>
      <c r="F475" s="16">
        <v>677</v>
      </c>
      <c r="G475" s="20">
        <v>507.75</v>
      </c>
      <c r="H475" s="12">
        <v>45717</v>
      </c>
    </row>
    <row r="476" spans="1:8" x14ac:dyDescent="0.25">
      <c r="A476" s="10" t="s">
        <v>44</v>
      </c>
      <c r="B476" s="10" t="s">
        <v>4</v>
      </c>
      <c r="C476" s="11" t="s">
        <v>14</v>
      </c>
      <c r="D476" s="20">
        <v>10</v>
      </c>
      <c r="E476" s="20">
        <v>15</v>
      </c>
      <c r="F476" s="16">
        <v>2214</v>
      </c>
      <c r="G476" s="20">
        <v>1660.5</v>
      </c>
      <c r="H476" s="12">
        <v>45717</v>
      </c>
    </row>
    <row r="477" spans="1:8" x14ac:dyDescent="0.25">
      <c r="A477" s="10" t="s">
        <v>44</v>
      </c>
      <c r="B477" s="10" t="s">
        <v>7</v>
      </c>
      <c r="C477" s="11" t="s">
        <v>14</v>
      </c>
      <c r="D477" s="20">
        <v>10</v>
      </c>
      <c r="E477" s="20">
        <v>15</v>
      </c>
      <c r="F477" s="16">
        <v>2501</v>
      </c>
      <c r="G477" s="20">
        <v>1875.75</v>
      </c>
      <c r="H477" s="12">
        <v>45717</v>
      </c>
    </row>
    <row r="478" spans="1:8" x14ac:dyDescent="0.25">
      <c r="A478" s="10" t="s">
        <v>11</v>
      </c>
      <c r="B478" s="10" t="s">
        <v>6</v>
      </c>
      <c r="C478" s="11" t="s">
        <v>14</v>
      </c>
      <c r="D478" s="20">
        <v>120</v>
      </c>
      <c r="E478" s="20">
        <v>125</v>
      </c>
      <c r="F478" s="16">
        <v>795</v>
      </c>
      <c r="G478" s="20">
        <v>4968.75</v>
      </c>
      <c r="H478" s="12">
        <v>45717</v>
      </c>
    </row>
    <row r="479" spans="1:8" x14ac:dyDescent="0.25">
      <c r="A479" s="10" t="s">
        <v>15</v>
      </c>
      <c r="B479" s="10" t="s">
        <v>9</v>
      </c>
      <c r="C479" s="11" t="s">
        <v>8</v>
      </c>
      <c r="D479" s="20">
        <v>5</v>
      </c>
      <c r="E479" s="20">
        <v>7</v>
      </c>
      <c r="F479" s="16">
        <v>1579</v>
      </c>
      <c r="G479" s="20">
        <v>552.65</v>
      </c>
      <c r="H479" s="12">
        <v>45717</v>
      </c>
    </row>
    <row r="480" spans="1:8" x14ac:dyDescent="0.25">
      <c r="A480" s="10" t="s">
        <v>15</v>
      </c>
      <c r="B480" s="10" t="s">
        <v>10</v>
      </c>
      <c r="C480" s="11" t="s">
        <v>8</v>
      </c>
      <c r="D480" s="20">
        <v>10</v>
      </c>
      <c r="E480" s="20">
        <v>20</v>
      </c>
      <c r="F480" s="16">
        <v>2428</v>
      </c>
      <c r="G480" s="20">
        <v>2428</v>
      </c>
      <c r="H480" s="12">
        <v>45717</v>
      </c>
    </row>
    <row r="481" spans="1:8" x14ac:dyDescent="0.25">
      <c r="A481" s="10" t="s">
        <v>15</v>
      </c>
      <c r="B481" s="10" t="s">
        <v>4</v>
      </c>
      <c r="C481" s="11" t="s">
        <v>8</v>
      </c>
      <c r="D481" s="20">
        <v>10</v>
      </c>
      <c r="E481" s="20">
        <v>20</v>
      </c>
      <c r="F481" s="16">
        <v>1122</v>
      </c>
      <c r="G481" s="20">
        <v>1122</v>
      </c>
      <c r="H481" s="12">
        <v>45717</v>
      </c>
    </row>
    <row r="482" spans="1:8" x14ac:dyDescent="0.25">
      <c r="A482" s="10" t="s">
        <v>15</v>
      </c>
      <c r="B482" s="10" t="s">
        <v>7</v>
      </c>
      <c r="C482" s="11" t="s">
        <v>8</v>
      </c>
      <c r="D482" s="20">
        <v>10</v>
      </c>
      <c r="E482" s="20">
        <v>20</v>
      </c>
      <c r="F482" s="16">
        <v>1954</v>
      </c>
      <c r="G482" s="20">
        <v>1954</v>
      </c>
      <c r="H482" s="12">
        <v>45717</v>
      </c>
    </row>
    <row r="483" spans="1:8" x14ac:dyDescent="0.25">
      <c r="A483" s="10" t="s">
        <v>11</v>
      </c>
      <c r="B483" s="10" t="s">
        <v>10</v>
      </c>
      <c r="C483" s="11" t="s">
        <v>8</v>
      </c>
      <c r="D483" s="20">
        <v>120</v>
      </c>
      <c r="E483" s="20">
        <v>125</v>
      </c>
      <c r="F483" s="16">
        <v>1774</v>
      </c>
      <c r="G483" s="20">
        <v>11087.5</v>
      </c>
      <c r="H483" s="12">
        <v>45717</v>
      </c>
    </row>
    <row r="484" spans="1:8" x14ac:dyDescent="0.25">
      <c r="A484" s="10" t="s">
        <v>11</v>
      </c>
      <c r="B484" s="10" t="s">
        <v>4</v>
      </c>
      <c r="C484" s="11" t="s">
        <v>8</v>
      </c>
      <c r="D484" s="20">
        <v>120</v>
      </c>
      <c r="E484" s="20">
        <v>125</v>
      </c>
      <c r="F484" s="16">
        <v>1114</v>
      </c>
      <c r="G484" s="20">
        <v>6962.5</v>
      </c>
      <c r="H484" s="12">
        <v>45717</v>
      </c>
    </row>
    <row r="485" spans="1:8" x14ac:dyDescent="0.25">
      <c r="A485" s="10" t="s">
        <v>11</v>
      </c>
      <c r="B485" s="10" t="s">
        <v>4</v>
      </c>
      <c r="C485" s="11" t="s">
        <v>8</v>
      </c>
      <c r="D485" s="20">
        <v>120</v>
      </c>
      <c r="E485" s="20">
        <v>125</v>
      </c>
      <c r="F485" s="16">
        <v>2385</v>
      </c>
      <c r="G485" s="20">
        <v>14906.25</v>
      </c>
      <c r="H485" s="12">
        <v>45717</v>
      </c>
    </row>
    <row r="486" spans="1:8" x14ac:dyDescent="0.25">
      <c r="A486" s="10" t="s">
        <v>15</v>
      </c>
      <c r="B486" s="10" t="s">
        <v>10</v>
      </c>
      <c r="C486" s="11" t="s">
        <v>16</v>
      </c>
      <c r="D486" s="20">
        <v>5</v>
      </c>
      <c r="E486" s="20">
        <v>7</v>
      </c>
      <c r="F486" s="16">
        <v>1326</v>
      </c>
      <c r="G486" s="20">
        <v>46.41</v>
      </c>
      <c r="H486" s="12">
        <v>45717</v>
      </c>
    </row>
    <row r="487" spans="1:8" x14ac:dyDescent="0.25">
      <c r="A487" s="10" t="s">
        <v>15</v>
      </c>
      <c r="B487" s="10" t="s">
        <v>6</v>
      </c>
      <c r="C487" s="11" t="s">
        <v>16</v>
      </c>
      <c r="D487" s="20">
        <v>5</v>
      </c>
      <c r="E487" s="20">
        <v>7</v>
      </c>
      <c r="F487" s="16">
        <v>263</v>
      </c>
      <c r="G487" s="20">
        <v>9.2050000000000001</v>
      </c>
      <c r="H487" s="12">
        <v>45717</v>
      </c>
    </row>
    <row r="488" spans="1:8" x14ac:dyDescent="0.25">
      <c r="A488" s="10" t="s">
        <v>28</v>
      </c>
      <c r="B488" s="10" t="s">
        <v>4</v>
      </c>
      <c r="C488" s="11" t="s">
        <v>16</v>
      </c>
      <c r="D488" s="20">
        <v>5</v>
      </c>
      <c r="E488" s="20">
        <v>7</v>
      </c>
      <c r="F488" s="16">
        <v>2903</v>
      </c>
      <c r="G488" s="20">
        <v>1016.0500000000001</v>
      </c>
      <c r="H488" s="12">
        <v>45717</v>
      </c>
    </row>
    <row r="489" spans="1:8" x14ac:dyDescent="0.25">
      <c r="A489" s="10" t="s">
        <v>17</v>
      </c>
      <c r="B489" s="10" t="s">
        <v>7</v>
      </c>
      <c r="C489" s="11" t="s">
        <v>16</v>
      </c>
      <c r="D489" s="20">
        <v>5</v>
      </c>
      <c r="E489" s="20">
        <v>7</v>
      </c>
      <c r="F489" s="16">
        <v>1491</v>
      </c>
      <c r="G489" s="20">
        <v>0</v>
      </c>
      <c r="H489" s="12">
        <v>45717</v>
      </c>
    </row>
    <row r="490" spans="1:8" x14ac:dyDescent="0.25">
      <c r="A490" s="10" t="s">
        <v>17</v>
      </c>
      <c r="B490" s="10" t="s">
        <v>10</v>
      </c>
      <c r="C490" s="11" t="s">
        <v>12</v>
      </c>
      <c r="D490" s="20">
        <v>3</v>
      </c>
      <c r="E490" s="20">
        <v>12</v>
      </c>
      <c r="F490" s="16">
        <v>3520</v>
      </c>
      <c r="G490" s="20">
        <v>2112</v>
      </c>
      <c r="H490" s="12">
        <v>45748</v>
      </c>
    </row>
    <row r="491" spans="1:8" x14ac:dyDescent="0.25">
      <c r="A491" s="10" t="s">
        <v>17</v>
      </c>
      <c r="B491" s="10" t="s">
        <v>9</v>
      </c>
      <c r="C491" s="11" t="s">
        <v>12</v>
      </c>
      <c r="D491" s="20">
        <v>3</v>
      </c>
      <c r="E491" s="20">
        <v>12</v>
      </c>
      <c r="F491" s="16">
        <v>1953</v>
      </c>
      <c r="G491" s="20">
        <v>0</v>
      </c>
      <c r="H491" s="12">
        <v>45748</v>
      </c>
    </row>
    <row r="492" spans="1:8" x14ac:dyDescent="0.25">
      <c r="A492" s="10" t="s">
        <v>11</v>
      </c>
      <c r="B492" s="10" t="s">
        <v>10</v>
      </c>
      <c r="C492" s="11" t="s">
        <v>12</v>
      </c>
      <c r="D492" s="20">
        <v>120</v>
      </c>
      <c r="E492" s="20">
        <v>125</v>
      </c>
      <c r="F492" s="16">
        <v>742</v>
      </c>
      <c r="G492" s="20">
        <v>4637.5</v>
      </c>
      <c r="H492" s="12">
        <v>45748</v>
      </c>
    </row>
    <row r="493" spans="1:8" x14ac:dyDescent="0.25">
      <c r="A493" s="10" t="s">
        <v>11</v>
      </c>
      <c r="B493" s="10" t="s">
        <v>6</v>
      </c>
      <c r="C493" s="11" t="s">
        <v>12</v>
      </c>
      <c r="D493" s="20">
        <v>120</v>
      </c>
      <c r="E493" s="20">
        <v>125</v>
      </c>
      <c r="F493" s="16">
        <v>4219</v>
      </c>
      <c r="G493" s="20">
        <v>0</v>
      </c>
      <c r="H493" s="12">
        <v>45748</v>
      </c>
    </row>
    <row r="494" spans="1:8" x14ac:dyDescent="0.25">
      <c r="A494" s="10" t="s">
        <v>11</v>
      </c>
      <c r="B494" s="10" t="s">
        <v>4</v>
      </c>
      <c r="C494" s="11" t="s">
        <v>12</v>
      </c>
      <c r="D494" s="20">
        <v>120</v>
      </c>
      <c r="E494" s="20">
        <v>125</v>
      </c>
      <c r="F494" s="16">
        <v>1074</v>
      </c>
      <c r="G494" s="20">
        <v>6712.5</v>
      </c>
      <c r="H494" s="12">
        <v>45748</v>
      </c>
    </row>
    <row r="495" spans="1:8" x14ac:dyDescent="0.25">
      <c r="A495" s="10" t="s">
        <v>15</v>
      </c>
      <c r="B495" s="10" t="s">
        <v>6</v>
      </c>
      <c r="C495" s="11" t="s">
        <v>13</v>
      </c>
      <c r="D495" s="20">
        <v>10</v>
      </c>
      <c r="E495" s="20">
        <v>20</v>
      </c>
      <c r="F495" s="16">
        <v>580</v>
      </c>
      <c r="G495" s="20">
        <v>580</v>
      </c>
      <c r="H495" s="12">
        <v>45748</v>
      </c>
    </row>
    <row r="496" spans="1:8" x14ac:dyDescent="0.25">
      <c r="A496" s="10" t="s">
        <v>15</v>
      </c>
      <c r="B496" s="10" t="s">
        <v>4</v>
      </c>
      <c r="C496" s="11" t="s">
        <v>13</v>
      </c>
      <c r="D496" s="20">
        <v>10</v>
      </c>
      <c r="E496" s="20">
        <v>20</v>
      </c>
      <c r="F496" s="16">
        <v>500</v>
      </c>
      <c r="G496" s="20">
        <v>500</v>
      </c>
      <c r="H496" s="12">
        <v>45748</v>
      </c>
    </row>
    <row r="497" spans="1:8" x14ac:dyDescent="0.25">
      <c r="A497" s="10" t="s">
        <v>11</v>
      </c>
      <c r="B497" s="10" t="s">
        <v>9</v>
      </c>
      <c r="C497" s="11" t="s">
        <v>13</v>
      </c>
      <c r="D497" s="20">
        <v>120</v>
      </c>
      <c r="E497" s="20">
        <v>125</v>
      </c>
      <c r="F497" s="16">
        <v>3445</v>
      </c>
      <c r="G497" s="20">
        <v>21531.25</v>
      </c>
      <c r="H497" s="12">
        <v>45748</v>
      </c>
    </row>
    <row r="498" spans="1:8" x14ac:dyDescent="0.25">
      <c r="A498" s="10" t="s">
        <v>11</v>
      </c>
      <c r="B498" s="10" t="s">
        <v>4</v>
      </c>
      <c r="C498" s="11" t="s">
        <v>13</v>
      </c>
      <c r="D498" s="20">
        <v>120</v>
      </c>
      <c r="E498" s="20">
        <v>125</v>
      </c>
      <c r="F498" s="16">
        <v>4243</v>
      </c>
      <c r="G498" s="20">
        <v>26518.75</v>
      </c>
      <c r="H498" s="12">
        <v>45748</v>
      </c>
    </row>
    <row r="499" spans="1:8" x14ac:dyDescent="0.25">
      <c r="A499" s="10" t="s">
        <v>15</v>
      </c>
      <c r="B499" s="10" t="s">
        <v>9</v>
      </c>
      <c r="C499" s="11" t="s">
        <v>5</v>
      </c>
      <c r="D499" s="20">
        <v>5</v>
      </c>
      <c r="E499" s="20">
        <v>7</v>
      </c>
      <c r="F499" s="16">
        <v>400</v>
      </c>
      <c r="G499" s="20">
        <v>140</v>
      </c>
      <c r="H499" s="12">
        <v>45748</v>
      </c>
    </row>
    <row r="500" spans="1:8" x14ac:dyDescent="0.25">
      <c r="A500" s="10" t="s">
        <v>15</v>
      </c>
      <c r="B500" s="10" t="s">
        <v>10</v>
      </c>
      <c r="C500" s="11" t="s">
        <v>5</v>
      </c>
      <c r="D500" s="20">
        <v>10</v>
      </c>
      <c r="E500" s="20">
        <v>20</v>
      </c>
      <c r="F500" s="16">
        <v>3850</v>
      </c>
      <c r="G500" s="20">
        <v>0</v>
      </c>
      <c r="H500" s="12">
        <v>45748</v>
      </c>
    </row>
    <row r="501" spans="1:8" x14ac:dyDescent="0.25">
      <c r="A501" s="10" t="s">
        <v>44</v>
      </c>
      <c r="B501" s="10" t="s">
        <v>6</v>
      </c>
      <c r="C501" s="11" t="s">
        <v>5</v>
      </c>
      <c r="D501" s="20">
        <v>10</v>
      </c>
      <c r="E501" s="20">
        <v>15</v>
      </c>
      <c r="F501" s="16">
        <v>510</v>
      </c>
      <c r="G501" s="20">
        <v>382.5</v>
      </c>
      <c r="H501" s="12">
        <v>45748</v>
      </c>
    </row>
    <row r="502" spans="1:8" x14ac:dyDescent="0.25">
      <c r="A502" s="10" t="s">
        <v>44</v>
      </c>
      <c r="B502" s="10" t="s">
        <v>9</v>
      </c>
      <c r="C502" s="11" t="s">
        <v>5</v>
      </c>
      <c r="D502" s="20">
        <v>10</v>
      </c>
      <c r="E502" s="20">
        <v>15</v>
      </c>
      <c r="F502" s="16">
        <v>3675</v>
      </c>
      <c r="G502" s="20">
        <v>2756.25</v>
      </c>
      <c r="H502" s="12">
        <v>45748</v>
      </c>
    </row>
    <row r="503" spans="1:8" x14ac:dyDescent="0.25">
      <c r="A503" s="10" t="s">
        <v>15</v>
      </c>
      <c r="B503" s="10" t="s">
        <v>9</v>
      </c>
      <c r="C503" s="11" t="s">
        <v>5</v>
      </c>
      <c r="D503" s="20">
        <v>10</v>
      </c>
      <c r="E503" s="20">
        <v>20</v>
      </c>
      <c r="F503" s="16">
        <v>606</v>
      </c>
      <c r="G503" s="20">
        <v>606</v>
      </c>
      <c r="H503" s="12">
        <v>45748</v>
      </c>
    </row>
    <row r="504" spans="1:8" x14ac:dyDescent="0.25">
      <c r="A504" s="10" t="s">
        <v>44</v>
      </c>
      <c r="B504" s="10" t="s">
        <v>4</v>
      </c>
      <c r="C504" s="11" t="s">
        <v>5</v>
      </c>
      <c r="D504" s="20">
        <v>10</v>
      </c>
      <c r="E504" s="20">
        <v>15</v>
      </c>
      <c r="F504" s="16">
        <v>2628</v>
      </c>
      <c r="G504" s="20">
        <v>1971</v>
      </c>
      <c r="H504" s="12">
        <v>45748</v>
      </c>
    </row>
    <row r="505" spans="1:8" x14ac:dyDescent="0.25">
      <c r="A505" s="10" t="s">
        <v>17</v>
      </c>
      <c r="B505" s="10" t="s">
        <v>7</v>
      </c>
      <c r="C505" s="11" t="s">
        <v>5</v>
      </c>
      <c r="D505" s="20">
        <v>10</v>
      </c>
      <c r="E505" s="20">
        <v>20</v>
      </c>
      <c r="F505" s="16">
        <v>200</v>
      </c>
      <c r="G505" s="20">
        <v>200</v>
      </c>
      <c r="H505" s="12">
        <v>45748</v>
      </c>
    </row>
    <row r="506" spans="1:8" x14ac:dyDescent="0.25">
      <c r="A506" s="10" t="s">
        <v>15</v>
      </c>
      <c r="B506" s="10" t="s">
        <v>6</v>
      </c>
      <c r="C506" s="11" t="s">
        <v>14</v>
      </c>
      <c r="D506" s="20">
        <v>5</v>
      </c>
      <c r="E506" s="20">
        <v>7</v>
      </c>
      <c r="F506" s="16">
        <v>1259</v>
      </c>
      <c r="G506" s="20">
        <v>440.65000000000003</v>
      </c>
      <c r="H506" s="12">
        <v>45748</v>
      </c>
    </row>
    <row r="507" spans="1:8" x14ac:dyDescent="0.25">
      <c r="A507" s="10" t="s">
        <v>28</v>
      </c>
      <c r="B507" s="10" t="s">
        <v>10</v>
      </c>
      <c r="C507" s="11" t="s">
        <v>14</v>
      </c>
      <c r="D507" s="20">
        <v>250</v>
      </c>
      <c r="E507" s="20">
        <v>300</v>
      </c>
      <c r="F507" s="16">
        <v>1414</v>
      </c>
      <c r="G507" s="20">
        <v>21210</v>
      </c>
      <c r="H507" s="12">
        <v>45748</v>
      </c>
    </row>
    <row r="508" spans="1:8" x14ac:dyDescent="0.25">
      <c r="A508" s="10" t="s">
        <v>28</v>
      </c>
      <c r="B508" s="10" t="s">
        <v>10</v>
      </c>
      <c r="C508" s="11" t="s">
        <v>14</v>
      </c>
      <c r="D508" s="20">
        <v>250</v>
      </c>
      <c r="E508" s="20">
        <v>300</v>
      </c>
      <c r="F508" s="16">
        <v>3802</v>
      </c>
      <c r="G508" s="20">
        <v>57030</v>
      </c>
      <c r="H508" s="12">
        <v>45748</v>
      </c>
    </row>
    <row r="509" spans="1:8" x14ac:dyDescent="0.25">
      <c r="A509" s="10" t="s">
        <v>17</v>
      </c>
      <c r="B509" s="10" t="s">
        <v>9</v>
      </c>
      <c r="C509" s="11" t="s">
        <v>14</v>
      </c>
      <c r="D509" s="20">
        <v>250</v>
      </c>
      <c r="E509" s="20">
        <v>300</v>
      </c>
      <c r="F509" s="16">
        <v>2301</v>
      </c>
      <c r="G509" s="20">
        <v>34515</v>
      </c>
      <c r="H509" s="12">
        <v>45748</v>
      </c>
    </row>
    <row r="510" spans="1:8" x14ac:dyDescent="0.25">
      <c r="A510" s="10" t="s">
        <v>28</v>
      </c>
      <c r="B510" s="10" t="s">
        <v>7</v>
      </c>
      <c r="C510" s="11" t="s">
        <v>14</v>
      </c>
      <c r="D510" s="20">
        <v>250</v>
      </c>
      <c r="E510" s="20">
        <v>300</v>
      </c>
      <c r="F510" s="16">
        <v>1773</v>
      </c>
      <c r="G510" s="20">
        <v>26595</v>
      </c>
      <c r="H510" s="12">
        <v>45748</v>
      </c>
    </row>
    <row r="511" spans="1:8" x14ac:dyDescent="0.25">
      <c r="A511" s="10" t="s">
        <v>15</v>
      </c>
      <c r="B511" s="10" t="s">
        <v>6</v>
      </c>
      <c r="C511" s="11" t="s">
        <v>14</v>
      </c>
      <c r="D511" s="20">
        <v>260</v>
      </c>
      <c r="E511" s="20">
        <v>350</v>
      </c>
      <c r="F511" s="16">
        <v>1199</v>
      </c>
      <c r="G511" s="20">
        <v>20982.5</v>
      </c>
      <c r="H511" s="12">
        <v>45748</v>
      </c>
    </row>
    <row r="512" spans="1:8" x14ac:dyDescent="0.25">
      <c r="A512" s="10" t="s">
        <v>15</v>
      </c>
      <c r="B512" s="10" t="s">
        <v>4</v>
      </c>
      <c r="C512" s="11" t="s">
        <v>14</v>
      </c>
      <c r="D512" s="20">
        <v>260</v>
      </c>
      <c r="E512" s="20">
        <v>350</v>
      </c>
      <c r="F512" s="16">
        <v>980</v>
      </c>
      <c r="G512" s="20">
        <v>17150</v>
      </c>
      <c r="H512" s="12">
        <v>45748</v>
      </c>
    </row>
    <row r="513" spans="1:8" x14ac:dyDescent="0.25">
      <c r="A513" s="10" t="s">
        <v>15</v>
      </c>
      <c r="B513" s="10" t="s">
        <v>10</v>
      </c>
      <c r="C513" s="11" t="s">
        <v>8</v>
      </c>
      <c r="D513" s="20">
        <v>5</v>
      </c>
      <c r="E513" s="20">
        <v>7</v>
      </c>
      <c r="F513" s="16">
        <v>723</v>
      </c>
      <c r="G513" s="20">
        <v>253.05</v>
      </c>
      <c r="H513" s="12">
        <v>45748</v>
      </c>
    </row>
    <row r="514" spans="1:8" x14ac:dyDescent="0.25">
      <c r="A514" s="10" t="s">
        <v>15</v>
      </c>
      <c r="B514" s="10" t="s">
        <v>4</v>
      </c>
      <c r="C514" s="11" t="s">
        <v>8</v>
      </c>
      <c r="D514" s="20">
        <v>5</v>
      </c>
      <c r="E514" s="20">
        <v>7</v>
      </c>
      <c r="F514" s="16">
        <v>500</v>
      </c>
      <c r="G514" s="20">
        <v>175</v>
      </c>
      <c r="H514" s="12">
        <v>45748</v>
      </c>
    </row>
    <row r="515" spans="1:8" x14ac:dyDescent="0.25">
      <c r="A515" s="10" t="s">
        <v>17</v>
      </c>
      <c r="B515" s="10" t="s">
        <v>7</v>
      </c>
      <c r="C515" s="11" t="s">
        <v>8</v>
      </c>
      <c r="D515" s="20">
        <v>5</v>
      </c>
      <c r="E515" s="20">
        <v>7</v>
      </c>
      <c r="F515" s="16">
        <v>540</v>
      </c>
      <c r="G515" s="20">
        <v>189</v>
      </c>
      <c r="H515" s="12">
        <v>45748</v>
      </c>
    </row>
    <row r="516" spans="1:8" x14ac:dyDescent="0.25">
      <c r="A516" s="10" t="s">
        <v>44</v>
      </c>
      <c r="B516" s="10" t="s">
        <v>10</v>
      </c>
      <c r="C516" s="11" t="s">
        <v>8</v>
      </c>
      <c r="D516" s="20">
        <v>10</v>
      </c>
      <c r="E516" s="20">
        <v>15</v>
      </c>
      <c r="F516" s="16">
        <v>1614</v>
      </c>
      <c r="G516" s="20">
        <v>1210.5</v>
      </c>
      <c r="H516" s="12">
        <v>45748</v>
      </c>
    </row>
    <row r="517" spans="1:8" x14ac:dyDescent="0.25">
      <c r="A517" s="10" t="s">
        <v>44</v>
      </c>
      <c r="B517" s="10" t="s">
        <v>7</v>
      </c>
      <c r="C517" s="11" t="s">
        <v>8</v>
      </c>
      <c r="D517" s="20">
        <v>10</v>
      </c>
      <c r="E517" s="20">
        <v>15</v>
      </c>
      <c r="F517" s="16">
        <v>3801</v>
      </c>
      <c r="G517" s="20">
        <v>2850.75</v>
      </c>
      <c r="H517" s="12">
        <v>45748</v>
      </c>
    </row>
    <row r="518" spans="1:8" x14ac:dyDescent="0.25">
      <c r="A518" s="10" t="s">
        <v>28</v>
      </c>
      <c r="B518" s="10" t="s">
        <v>4</v>
      </c>
      <c r="C518" s="11" t="s">
        <v>8</v>
      </c>
      <c r="D518" s="20">
        <v>250</v>
      </c>
      <c r="E518" s="20">
        <v>300</v>
      </c>
      <c r="F518" s="16">
        <v>1607</v>
      </c>
      <c r="G518" s="20">
        <v>24105</v>
      </c>
      <c r="H518" s="12">
        <v>45748</v>
      </c>
    </row>
    <row r="519" spans="1:8" x14ac:dyDescent="0.25">
      <c r="A519" s="10" t="s">
        <v>15</v>
      </c>
      <c r="B519" s="10" t="s">
        <v>9</v>
      </c>
      <c r="C519" s="11" t="s">
        <v>8</v>
      </c>
      <c r="D519" s="20">
        <v>260</v>
      </c>
      <c r="E519" s="20">
        <v>350</v>
      </c>
      <c r="F519" s="16">
        <v>1351</v>
      </c>
      <c r="G519" s="20">
        <v>23642.5</v>
      </c>
      <c r="H519" s="12">
        <v>45748</v>
      </c>
    </row>
    <row r="520" spans="1:8" x14ac:dyDescent="0.25">
      <c r="A520" s="10" t="s">
        <v>17</v>
      </c>
      <c r="B520" s="10" t="s">
        <v>6</v>
      </c>
      <c r="C520" s="11" t="s">
        <v>16</v>
      </c>
      <c r="D520" s="20">
        <v>3</v>
      </c>
      <c r="E520" s="20">
        <v>12</v>
      </c>
      <c r="F520" s="16">
        <v>2838</v>
      </c>
      <c r="G520" s="20">
        <v>0</v>
      </c>
      <c r="H520" s="12">
        <v>45748</v>
      </c>
    </row>
    <row r="521" spans="1:8" x14ac:dyDescent="0.25">
      <c r="A521" s="10" t="s">
        <v>17</v>
      </c>
      <c r="B521" s="10" t="s">
        <v>4</v>
      </c>
      <c r="C521" s="11" t="s">
        <v>16</v>
      </c>
      <c r="D521" s="20">
        <v>3</v>
      </c>
      <c r="E521" s="20">
        <v>12</v>
      </c>
      <c r="F521" s="16">
        <v>1916</v>
      </c>
      <c r="G521" s="20">
        <v>1149.6000000000001</v>
      </c>
      <c r="H521" s="12">
        <v>45748</v>
      </c>
    </row>
    <row r="522" spans="1:8" x14ac:dyDescent="0.25">
      <c r="A522" s="10" t="s">
        <v>17</v>
      </c>
      <c r="B522" s="10" t="s">
        <v>7</v>
      </c>
      <c r="C522" s="11" t="s">
        <v>16</v>
      </c>
      <c r="D522" s="20">
        <v>3</v>
      </c>
      <c r="E522" s="20">
        <v>12</v>
      </c>
      <c r="F522" s="16">
        <v>1738</v>
      </c>
      <c r="G522" s="20">
        <v>1042.8</v>
      </c>
      <c r="H522" s="12">
        <v>45748</v>
      </c>
    </row>
    <row r="523" spans="1:8" x14ac:dyDescent="0.25">
      <c r="A523" s="10" t="s">
        <v>15</v>
      </c>
      <c r="B523" s="10" t="s">
        <v>10</v>
      </c>
      <c r="C523" s="11" t="s">
        <v>16</v>
      </c>
      <c r="D523" s="20">
        <v>260</v>
      </c>
      <c r="E523" s="20">
        <v>350</v>
      </c>
      <c r="F523" s="16">
        <v>943</v>
      </c>
      <c r="G523" s="20">
        <v>16502.5</v>
      </c>
      <c r="H523" s="12">
        <v>45748</v>
      </c>
    </row>
    <row r="524" spans="1:8" x14ac:dyDescent="0.25">
      <c r="A524" s="10" t="s">
        <v>17</v>
      </c>
      <c r="B524" s="10" t="s">
        <v>7</v>
      </c>
      <c r="C524" s="11" t="s">
        <v>16</v>
      </c>
      <c r="D524" s="20">
        <v>260</v>
      </c>
      <c r="E524" s="20">
        <v>350</v>
      </c>
      <c r="F524" s="16">
        <v>574</v>
      </c>
      <c r="G524" s="20">
        <v>10045</v>
      </c>
      <c r="H524" s="12">
        <v>45748</v>
      </c>
    </row>
    <row r="525" spans="1:8" x14ac:dyDescent="0.25">
      <c r="A525" s="10" t="s">
        <v>28</v>
      </c>
      <c r="B525" s="10" t="s">
        <v>4</v>
      </c>
      <c r="C525" s="11" t="s">
        <v>12</v>
      </c>
      <c r="D525" s="20">
        <v>10</v>
      </c>
      <c r="E525" s="20">
        <v>20</v>
      </c>
      <c r="F525" s="16">
        <v>2039</v>
      </c>
      <c r="G525" s="20">
        <v>2039</v>
      </c>
      <c r="H525" s="12">
        <v>45778</v>
      </c>
    </row>
    <row r="526" spans="1:8" x14ac:dyDescent="0.25">
      <c r="A526" s="10" t="s">
        <v>11</v>
      </c>
      <c r="B526" s="10" t="s">
        <v>10</v>
      </c>
      <c r="C526" s="11" t="s">
        <v>12</v>
      </c>
      <c r="D526" s="20">
        <v>120</v>
      </c>
      <c r="E526" s="20">
        <v>125</v>
      </c>
      <c r="F526" s="16">
        <v>1645</v>
      </c>
      <c r="G526" s="20">
        <v>10281.25</v>
      </c>
      <c r="H526" s="12">
        <v>45778</v>
      </c>
    </row>
    <row r="527" spans="1:8" x14ac:dyDescent="0.25">
      <c r="A527" s="10" t="s">
        <v>11</v>
      </c>
      <c r="B527" s="10" t="s">
        <v>6</v>
      </c>
      <c r="C527" s="11" t="s">
        <v>12</v>
      </c>
      <c r="D527" s="20">
        <v>120</v>
      </c>
      <c r="E527" s="20">
        <v>125</v>
      </c>
      <c r="F527" s="16">
        <v>2276</v>
      </c>
      <c r="G527" s="20">
        <v>14225</v>
      </c>
      <c r="H527" s="12">
        <v>45778</v>
      </c>
    </row>
    <row r="528" spans="1:8" x14ac:dyDescent="0.25">
      <c r="A528" s="10" t="s">
        <v>11</v>
      </c>
      <c r="B528" s="10" t="s">
        <v>9</v>
      </c>
      <c r="C528" s="11" t="s">
        <v>12</v>
      </c>
      <c r="D528" s="20">
        <v>120</v>
      </c>
      <c r="E528" s="20">
        <v>125</v>
      </c>
      <c r="F528" s="16">
        <v>2844</v>
      </c>
      <c r="G528" s="20">
        <v>17775</v>
      </c>
      <c r="H528" s="12">
        <v>45778</v>
      </c>
    </row>
    <row r="529" spans="1:8" x14ac:dyDescent="0.25">
      <c r="A529" s="10" t="s">
        <v>11</v>
      </c>
      <c r="B529" s="10" t="s">
        <v>7</v>
      </c>
      <c r="C529" s="11" t="s">
        <v>12</v>
      </c>
      <c r="D529" s="20">
        <v>120</v>
      </c>
      <c r="E529" s="20">
        <v>125</v>
      </c>
      <c r="F529" s="16">
        <v>1433</v>
      </c>
      <c r="G529" s="20">
        <v>8956.25</v>
      </c>
      <c r="H529" s="12">
        <v>45778</v>
      </c>
    </row>
    <row r="530" spans="1:8" x14ac:dyDescent="0.25">
      <c r="A530" s="10" t="s">
        <v>15</v>
      </c>
      <c r="B530" s="10" t="s">
        <v>10</v>
      </c>
      <c r="C530" s="11" t="s">
        <v>13</v>
      </c>
      <c r="D530" s="20">
        <v>10</v>
      </c>
      <c r="E530" s="20">
        <v>20</v>
      </c>
      <c r="F530" s="16">
        <v>831</v>
      </c>
      <c r="G530" s="20">
        <v>831</v>
      </c>
      <c r="H530" s="12">
        <v>45778</v>
      </c>
    </row>
    <row r="531" spans="1:8" x14ac:dyDescent="0.25">
      <c r="A531" s="10" t="s">
        <v>15</v>
      </c>
      <c r="B531" s="10" t="s">
        <v>6</v>
      </c>
      <c r="C531" s="11" t="s">
        <v>13</v>
      </c>
      <c r="D531" s="20">
        <v>10</v>
      </c>
      <c r="E531" s="20">
        <v>20</v>
      </c>
      <c r="F531" s="16">
        <v>663</v>
      </c>
      <c r="G531" s="20">
        <v>663</v>
      </c>
      <c r="H531" s="12">
        <v>45778</v>
      </c>
    </row>
    <row r="532" spans="1:8" x14ac:dyDescent="0.25">
      <c r="A532" s="10" t="s">
        <v>15</v>
      </c>
      <c r="B532" s="10" t="s">
        <v>9</v>
      </c>
      <c r="C532" s="11" t="s">
        <v>13</v>
      </c>
      <c r="D532" s="20">
        <v>10</v>
      </c>
      <c r="E532" s="20">
        <v>20</v>
      </c>
      <c r="F532" s="16">
        <v>1743</v>
      </c>
      <c r="G532" s="20">
        <v>0</v>
      </c>
      <c r="H532" s="12">
        <v>45778</v>
      </c>
    </row>
    <row r="533" spans="1:8" x14ac:dyDescent="0.25">
      <c r="A533" s="10" t="s">
        <v>15</v>
      </c>
      <c r="B533" s="10" t="s">
        <v>7</v>
      </c>
      <c r="C533" s="11" t="s">
        <v>13</v>
      </c>
      <c r="D533" s="20">
        <v>10</v>
      </c>
      <c r="E533" s="20">
        <v>20</v>
      </c>
      <c r="F533" s="16">
        <v>1563</v>
      </c>
      <c r="G533" s="20">
        <v>1563</v>
      </c>
      <c r="H533" s="12">
        <v>45778</v>
      </c>
    </row>
    <row r="534" spans="1:8" x14ac:dyDescent="0.25">
      <c r="A534" s="10" t="s">
        <v>15</v>
      </c>
      <c r="B534" s="10" t="s">
        <v>9</v>
      </c>
      <c r="C534" s="11" t="s">
        <v>5</v>
      </c>
      <c r="D534" s="20">
        <v>5</v>
      </c>
      <c r="E534" s="20">
        <v>7</v>
      </c>
      <c r="F534" s="16">
        <v>2327</v>
      </c>
      <c r="G534" s="20">
        <v>814.45</v>
      </c>
      <c r="H534" s="12">
        <v>45778</v>
      </c>
    </row>
    <row r="535" spans="1:8" x14ac:dyDescent="0.25">
      <c r="A535" s="10" t="s">
        <v>15</v>
      </c>
      <c r="B535" s="10" t="s">
        <v>4</v>
      </c>
      <c r="C535" s="11" t="s">
        <v>5</v>
      </c>
      <c r="D535" s="20">
        <v>5</v>
      </c>
      <c r="E535" s="20">
        <v>7</v>
      </c>
      <c r="F535" s="16">
        <v>362</v>
      </c>
      <c r="G535" s="20">
        <v>12.67</v>
      </c>
      <c r="H535" s="12">
        <v>45778</v>
      </c>
    </row>
    <row r="536" spans="1:8" x14ac:dyDescent="0.25">
      <c r="A536" s="10" t="s">
        <v>44</v>
      </c>
      <c r="B536" s="10" t="s">
        <v>10</v>
      </c>
      <c r="C536" s="11" t="s">
        <v>5</v>
      </c>
      <c r="D536" s="20">
        <v>10</v>
      </c>
      <c r="E536" s="20">
        <v>15</v>
      </c>
      <c r="F536" s="16">
        <v>1262</v>
      </c>
      <c r="G536" s="20">
        <v>946.5</v>
      </c>
      <c r="H536" s="12">
        <v>45778</v>
      </c>
    </row>
    <row r="537" spans="1:8" x14ac:dyDescent="0.25">
      <c r="A537" s="10" t="s">
        <v>44</v>
      </c>
      <c r="B537" s="10" t="s">
        <v>6</v>
      </c>
      <c r="C537" s="11" t="s">
        <v>5</v>
      </c>
      <c r="D537" s="20">
        <v>10</v>
      </c>
      <c r="E537" s="20">
        <v>15</v>
      </c>
      <c r="F537" s="16">
        <v>1530</v>
      </c>
      <c r="G537" s="20">
        <v>1147.5</v>
      </c>
      <c r="H537" s="12">
        <v>45778</v>
      </c>
    </row>
    <row r="538" spans="1:8" x14ac:dyDescent="0.25">
      <c r="A538" s="10" t="s">
        <v>44</v>
      </c>
      <c r="B538" s="10" t="s">
        <v>9</v>
      </c>
      <c r="C538" s="11" t="s">
        <v>5</v>
      </c>
      <c r="D538" s="20">
        <v>10</v>
      </c>
      <c r="E538" s="20">
        <v>15</v>
      </c>
      <c r="F538" s="16">
        <v>790</v>
      </c>
      <c r="G538" s="20">
        <v>592.5</v>
      </c>
      <c r="H538" s="12">
        <v>45778</v>
      </c>
    </row>
    <row r="539" spans="1:8" x14ac:dyDescent="0.25">
      <c r="A539" s="10" t="s">
        <v>44</v>
      </c>
      <c r="B539" s="10" t="s">
        <v>4</v>
      </c>
      <c r="C539" s="11" t="s">
        <v>5</v>
      </c>
      <c r="D539" s="20">
        <v>10</v>
      </c>
      <c r="E539" s="20">
        <v>15</v>
      </c>
      <c r="F539" s="16">
        <v>245</v>
      </c>
      <c r="G539" s="20">
        <v>183.75</v>
      </c>
      <c r="H539" s="12">
        <v>45778</v>
      </c>
    </row>
    <row r="540" spans="1:8" x14ac:dyDescent="0.25">
      <c r="A540" s="10" t="s">
        <v>44</v>
      </c>
      <c r="B540" s="10" t="s">
        <v>7</v>
      </c>
      <c r="C540" s="11" t="s">
        <v>5</v>
      </c>
      <c r="D540" s="20">
        <v>10</v>
      </c>
      <c r="E540" s="20">
        <v>15</v>
      </c>
      <c r="F540" s="16">
        <v>2826</v>
      </c>
      <c r="G540" s="20">
        <v>2119.5</v>
      </c>
      <c r="H540" s="12">
        <v>45778</v>
      </c>
    </row>
    <row r="541" spans="1:8" x14ac:dyDescent="0.25">
      <c r="A541" s="10" t="s">
        <v>28</v>
      </c>
      <c r="B541" s="10" t="s">
        <v>9</v>
      </c>
      <c r="C541" s="11" t="s">
        <v>5</v>
      </c>
      <c r="D541" s="20">
        <v>250</v>
      </c>
      <c r="E541" s="20">
        <v>300</v>
      </c>
      <c r="F541" s="16">
        <v>2918</v>
      </c>
      <c r="G541" s="20">
        <v>43770</v>
      </c>
      <c r="H541" s="12">
        <v>45778</v>
      </c>
    </row>
    <row r="542" spans="1:8" x14ac:dyDescent="0.25">
      <c r="A542" s="10" t="s">
        <v>17</v>
      </c>
      <c r="B542" s="10" t="s">
        <v>4</v>
      </c>
      <c r="C542" s="11" t="s">
        <v>14</v>
      </c>
      <c r="D542" s="20">
        <v>3</v>
      </c>
      <c r="E542" s="20">
        <v>12</v>
      </c>
      <c r="F542" s="16">
        <v>2661</v>
      </c>
      <c r="G542" s="20">
        <v>1596.6000000000001</v>
      </c>
      <c r="H542" s="12">
        <v>45778</v>
      </c>
    </row>
    <row r="543" spans="1:8" x14ac:dyDescent="0.25">
      <c r="A543" s="10" t="s">
        <v>15</v>
      </c>
      <c r="B543" s="10" t="s">
        <v>6</v>
      </c>
      <c r="C543" s="11" t="s">
        <v>14</v>
      </c>
      <c r="D543" s="20">
        <v>5</v>
      </c>
      <c r="E543" s="20">
        <v>7</v>
      </c>
      <c r="F543" s="16">
        <v>1095</v>
      </c>
      <c r="G543" s="20">
        <v>383.25</v>
      </c>
      <c r="H543" s="12">
        <v>45778</v>
      </c>
    </row>
    <row r="544" spans="1:8" x14ac:dyDescent="0.25">
      <c r="A544" s="10" t="s">
        <v>28</v>
      </c>
      <c r="B544" s="10" t="s">
        <v>10</v>
      </c>
      <c r="C544" s="11" t="s">
        <v>14</v>
      </c>
      <c r="D544" s="20">
        <v>250</v>
      </c>
      <c r="E544" s="20">
        <v>300</v>
      </c>
      <c r="F544" s="16">
        <v>1728</v>
      </c>
      <c r="G544" s="20">
        <v>25920</v>
      </c>
      <c r="H544" s="12">
        <v>45778</v>
      </c>
    </row>
    <row r="545" spans="1:8" x14ac:dyDescent="0.25">
      <c r="A545" s="10" t="s">
        <v>15</v>
      </c>
      <c r="B545" s="10" t="s">
        <v>10</v>
      </c>
      <c r="C545" s="11" t="s">
        <v>14</v>
      </c>
      <c r="D545" s="20">
        <v>260</v>
      </c>
      <c r="E545" s="20">
        <v>350</v>
      </c>
      <c r="F545" s="16">
        <v>200</v>
      </c>
      <c r="G545" s="20">
        <v>3500</v>
      </c>
      <c r="H545" s="12">
        <v>45778</v>
      </c>
    </row>
    <row r="546" spans="1:8" x14ac:dyDescent="0.25">
      <c r="A546" s="10" t="s">
        <v>15</v>
      </c>
      <c r="B546" s="10" t="s">
        <v>6</v>
      </c>
      <c r="C546" s="11" t="s">
        <v>14</v>
      </c>
      <c r="D546" s="20">
        <v>260</v>
      </c>
      <c r="E546" s="20">
        <v>350</v>
      </c>
      <c r="F546" s="16">
        <v>240</v>
      </c>
      <c r="G546" s="20">
        <v>4200</v>
      </c>
      <c r="H546" s="12">
        <v>45778</v>
      </c>
    </row>
    <row r="547" spans="1:8" x14ac:dyDescent="0.25">
      <c r="A547" s="10" t="s">
        <v>15</v>
      </c>
      <c r="B547" s="10" t="s">
        <v>9</v>
      </c>
      <c r="C547" s="11" t="s">
        <v>14</v>
      </c>
      <c r="D547" s="20">
        <v>260</v>
      </c>
      <c r="E547" s="20">
        <v>350</v>
      </c>
      <c r="F547" s="16">
        <v>2313</v>
      </c>
      <c r="G547" s="20">
        <v>40477.5</v>
      </c>
      <c r="H547" s="12">
        <v>45778</v>
      </c>
    </row>
    <row r="548" spans="1:8" x14ac:dyDescent="0.25">
      <c r="A548" s="10" t="s">
        <v>15</v>
      </c>
      <c r="B548" s="10" t="s">
        <v>7</v>
      </c>
      <c r="C548" s="11" t="s">
        <v>14</v>
      </c>
      <c r="D548" s="20">
        <v>260</v>
      </c>
      <c r="E548" s="20">
        <v>350</v>
      </c>
      <c r="F548" s="16">
        <v>1666</v>
      </c>
      <c r="G548" s="20">
        <v>29155</v>
      </c>
      <c r="H548" s="12">
        <v>45778</v>
      </c>
    </row>
    <row r="549" spans="1:8" x14ac:dyDescent="0.25">
      <c r="A549" s="10" t="s">
        <v>15</v>
      </c>
      <c r="B549" s="10" t="s">
        <v>10</v>
      </c>
      <c r="C549" s="11" t="s">
        <v>8</v>
      </c>
      <c r="D549" s="20">
        <v>5</v>
      </c>
      <c r="E549" s="20">
        <v>7</v>
      </c>
      <c r="F549" s="16">
        <v>257</v>
      </c>
      <c r="G549" s="20">
        <v>71.959999999999994</v>
      </c>
      <c r="H549" s="12">
        <v>45778</v>
      </c>
    </row>
    <row r="550" spans="1:8" x14ac:dyDescent="0.25">
      <c r="A550" s="10" t="s">
        <v>17</v>
      </c>
      <c r="B550" s="10" t="s">
        <v>7</v>
      </c>
      <c r="C550" s="11" t="s">
        <v>8</v>
      </c>
      <c r="D550" s="20">
        <v>5</v>
      </c>
      <c r="E550" s="20">
        <v>7</v>
      </c>
      <c r="F550" s="16">
        <v>1030</v>
      </c>
      <c r="G550" s="20">
        <v>36.049999999999997</v>
      </c>
      <c r="H550" s="12">
        <v>45778</v>
      </c>
    </row>
    <row r="551" spans="1:8" x14ac:dyDescent="0.25">
      <c r="A551" s="10" t="s">
        <v>28</v>
      </c>
      <c r="B551" s="10" t="s">
        <v>10</v>
      </c>
      <c r="C551" s="11" t="s">
        <v>8</v>
      </c>
      <c r="D551" s="20">
        <v>250</v>
      </c>
      <c r="E551" s="20">
        <v>300</v>
      </c>
      <c r="F551" s="16">
        <v>1702</v>
      </c>
      <c r="G551" s="20">
        <v>25530</v>
      </c>
      <c r="H551" s="12">
        <v>45778</v>
      </c>
    </row>
    <row r="552" spans="1:8" x14ac:dyDescent="0.25">
      <c r="A552" s="10" t="s">
        <v>28</v>
      </c>
      <c r="B552" s="10" t="s">
        <v>4</v>
      </c>
      <c r="C552" s="11" t="s">
        <v>8</v>
      </c>
      <c r="D552" s="20">
        <v>250</v>
      </c>
      <c r="E552" s="20">
        <v>300</v>
      </c>
      <c r="F552" s="16">
        <v>591</v>
      </c>
      <c r="G552" s="20">
        <v>0</v>
      </c>
      <c r="H552" s="12">
        <v>45778</v>
      </c>
    </row>
    <row r="553" spans="1:8" x14ac:dyDescent="0.25">
      <c r="A553" s="10" t="s">
        <v>28</v>
      </c>
      <c r="B553" s="10" t="s">
        <v>7</v>
      </c>
      <c r="C553" s="11" t="s">
        <v>8</v>
      </c>
      <c r="D553" s="20">
        <v>250</v>
      </c>
      <c r="E553" s="20">
        <v>300</v>
      </c>
      <c r="F553" s="16">
        <v>918</v>
      </c>
      <c r="G553" s="20">
        <v>13770</v>
      </c>
      <c r="H553" s="12">
        <v>45778</v>
      </c>
    </row>
    <row r="554" spans="1:8" x14ac:dyDescent="0.25">
      <c r="A554" s="10" t="s">
        <v>28</v>
      </c>
      <c r="B554" s="10" t="s">
        <v>4</v>
      </c>
      <c r="C554" s="11" t="s">
        <v>8</v>
      </c>
      <c r="D554" s="20">
        <v>260</v>
      </c>
      <c r="E554" s="20">
        <v>350</v>
      </c>
      <c r="F554" s="16">
        <v>810</v>
      </c>
      <c r="G554" s="20">
        <v>14175</v>
      </c>
      <c r="H554" s="12">
        <v>45778</v>
      </c>
    </row>
    <row r="555" spans="1:8" x14ac:dyDescent="0.25">
      <c r="A555" s="10" t="s">
        <v>17</v>
      </c>
      <c r="B555" s="10" t="s">
        <v>10</v>
      </c>
      <c r="C555" s="11" t="s">
        <v>16</v>
      </c>
      <c r="D555" s="20">
        <v>3</v>
      </c>
      <c r="E555" s="20">
        <v>12</v>
      </c>
      <c r="F555" s="16">
        <v>2109</v>
      </c>
      <c r="G555" s="20">
        <v>1265.4000000000001</v>
      </c>
      <c r="H555" s="12">
        <v>45778</v>
      </c>
    </row>
    <row r="556" spans="1:8" x14ac:dyDescent="0.25">
      <c r="A556" s="10" t="s">
        <v>17</v>
      </c>
      <c r="B556" s="10" t="s">
        <v>6</v>
      </c>
      <c r="C556" s="11" t="s">
        <v>16</v>
      </c>
      <c r="D556" s="20">
        <v>3</v>
      </c>
      <c r="E556" s="20">
        <v>12</v>
      </c>
      <c r="F556" s="16">
        <v>880</v>
      </c>
      <c r="G556" s="20">
        <v>528</v>
      </c>
      <c r="H556" s="12">
        <v>45778</v>
      </c>
    </row>
    <row r="557" spans="1:8" x14ac:dyDescent="0.25">
      <c r="A557" s="10" t="s">
        <v>17</v>
      </c>
      <c r="B557" s="10" t="s">
        <v>9</v>
      </c>
      <c r="C557" s="11" t="s">
        <v>16</v>
      </c>
      <c r="D557" s="20">
        <v>3</v>
      </c>
      <c r="E557" s="20">
        <v>12</v>
      </c>
      <c r="F557" s="16">
        <v>1806</v>
      </c>
      <c r="G557" s="20">
        <v>1083.6000000000001</v>
      </c>
      <c r="H557" s="12">
        <v>45778</v>
      </c>
    </row>
    <row r="558" spans="1:8" x14ac:dyDescent="0.25">
      <c r="A558" s="10" t="s">
        <v>17</v>
      </c>
      <c r="B558" s="10" t="s">
        <v>7</v>
      </c>
      <c r="C558" s="11" t="s">
        <v>16</v>
      </c>
      <c r="D558" s="20">
        <v>3</v>
      </c>
      <c r="E558" s="20">
        <v>12</v>
      </c>
      <c r="F558" s="16">
        <v>866</v>
      </c>
      <c r="G558" s="20">
        <v>519.6</v>
      </c>
      <c r="H558" s="12">
        <v>45778</v>
      </c>
    </row>
    <row r="559" spans="1:8" x14ac:dyDescent="0.25">
      <c r="A559" s="10" t="s">
        <v>11</v>
      </c>
      <c r="B559" s="10" t="s">
        <v>4</v>
      </c>
      <c r="C559" s="11" t="s">
        <v>16</v>
      </c>
      <c r="D559" s="20">
        <v>120</v>
      </c>
      <c r="E559" s="20">
        <v>125</v>
      </c>
      <c r="F559" s="16">
        <v>341</v>
      </c>
      <c r="G559" s="20">
        <v>2131.25</v>
      </c>
      <c r="H559" s="12">
        <v>45778</v>
      </c>
    </row>
    <row r="560" spans="1:8" x14ac:dyDescent="0.25">
      <c r="A560" s="10" t="s">
        <v>15</v>
      </c>
      <c r="B560" s="10" t="s">
        <v>10</v>
      </c>
      <c r="C560" s="11" t="s">
        <v>12</v>
      </c>
      <c r="D560" s="20">
        <v>5</v>
      </c>
      <c r="E560" s="20">
        <v>7</v>
      </c>
      <c r="F560" s="16">
        <v>1135</v>
      </c>
      <c r="G560" s="20">
        <v>0</v>
      </c>
      <c r="H560" s="12">
        <v>45809</v>
      </c>
    </row>
    <row r="561" spans="1:8" x14ac:dyDescent="0.25">
      <c r="A561" s="10" t="s">
        <v>15</v>
      </c>
      <c r="B561" s="10" t="s">
        <v>9</v>
      </c>
      <c r="C561" s="11" t="s">
        <v>12</v>
      </c>
      <c r="D561" s="20">
        <v>5</v>
      </c>
      <c r="E561" s="20">
        <v>7</v>
      </c>
      <c r="F561" s="16">
        <v>908</v>
      </c>
      <c r="G561" s="20">
        <v>317.8</v>
      </c>
      <c r="H561" s="12">
        <v>45809</v>
      </c>
    </row>
    <row r="562" spans="1:8" x14ac:dyDescent="0.25">
      <c r="A562" s="10" t="s">
        <v>17</v>
      </c>
      <c r="B562" s="10" t="s">
        <v>7</v>
      </c>
      <c r="C562" s="11" t="s">
        <v>12</v>
      </c>
      <c r="D562" s="20">
        <v>5</v>
      </c>
      <c r="E562" s="20">
        <v>7</v>
      </c>
      <c r="F562" s="16">
        <v>1190</v>
      </c>
      <c r="G562" s="20">
        <v>416.5</v>
      </c>
      <c r="H562" s="12">
        <v>45809</v>
      </c>
    </row>
    <row r="563" spans="1:8" x14ac:dyDescent="0.25">
      <c r="A563" s="10" t="s">
        <v>44</v>
      </c>
      <c r="B563" s="10" t="s">
        <v>10</v>
      </c>
      <c r="C563" s="11" t="s">
        <v>12</v>
      </c>
      <c r="D563" s="20">
        <v>10</v>
      </c>
      <c r="E563" s="20">
        <v>15</v>
      </c>
      <c r="F563" s="16">
        <v>2844</v>
      </c>
      <c r="G563" s="20">
        <v>2133</v>
      </c>
      <c r="H563" s="12">
        <v>45809</v>
      </c>
    </row>
    <row r="564" spans="1:8" x14ac:dyDescent="0.25">
      <c r="A564" s="10" t="s">
        <v>15</v>
      </c>
      <c r="B564" s="10" t="s">
        <v>10</v>
      </c>
      <c r="C564" s="11" t="s">
        <v>12</v>
      </c>
      <c r="D564" s="20">
        <v>10</v>
      </c>
      <c r="E564" s="20">
        <v>20</v>
      </c>
      <c r="F564" s="16">
        <v>708</v>
      </c>
      <c r="G564" s="20">
        <v>708</v>
      </c>
      <c r="H564" s="12">
        <v>45809</v>
      </c>
    </row>
    <row r="565" spans="1:8" x14ac:dyDescent="0.25">
      <c r="A565" s="10" t="s">
        <v>15</v>
      </c>
      <c r="B565" s="10" t="s">
        <v>6</v>
      </c>
      <c r="C565" s="11" t="s">
        <v>12</v>
      </c>
      <c r="D565" s="20">
        <v>10</v>
      </c>
      <c r="E565" s="20">
        <v>20</v>
      </c>
      <c r="F565" s="16">
        <v>200</v>
      </c>
      <c r="G565" s="20">
        <v>200</v>
      </c>
      <c r="H565" s="12">
        <v>45809</v>
      </c>
    </row>
    <row r="566" spans="1:8" x14ac:dyDescent="0.25">
      <c r="A566" s="10" t="s">
        <v>15</v>
      </c>
      <c r="B566" s="10" t="s">
        <v>9</v>
      </c>
      <c r="C566" s="11" t="s">
        <v>12</v>
      </c>
      <c r="D566" s="20">
        <v>10</v>
      </c>
      <c r="E566" s="20">
        <v>20</v>
      </c>
      <c r="F566" s="16">
        <v>1282</v>
      </c>
      <c r="G566" s="20">
        <v>1282</v>
      </c>
      <c r="H566" s="12">
        <v>45809</v>
      </c>
    </row>
    <row r="567" spans="1:8" x14ac:dyDescent="0.25">
      <c r="A567" s="10" t="s">
        <v>15</v>
      </c>
      <c r="B567" s="10" t="s">
        <v>4</v>
      </c>
      <c r="C567" s="11" t="s">
        <v>12</v>
      </c>
      <c r="D567" s="20">
        <v>10</v>
      </c>
      <c r="E567" s="20">
        <v>20</v>
      </c>
      <c r="F567" s="16">
        <v>1038</v>
      </c>
      <c r="G567" s="20">
        <v>1038</v>
      </c>
      <c r="H567" s="12">
        <v>45809</v>
      </c>
    </row>
    <row r="568" spans="1:8" x14ac:dyDescent="0.25">
      <c r="A568" s="10" t="s">
        <v>15</v>
      </c>
      <c r="B568" s="10" t="s">
        <v>7</v>
      </c>
      <c r="C568" s="11" t="s">
        <v>12</v>
      </c>
      <c r="D568" s="20">
        <v>10</v>
      </c>
      <c r="E568" s="20">
        <v>20</v>
      </c>
      <c r="F568" s="16">
        <v>1899</v>
      </c>
      <c r="G568" s="20">
        <v>0</v>
      </c>
      <c r="H568" s="12">
        <v>45809</v>
      </c>
    </row>
    <row r="569" spans="1:8" x14ac:dyDescent="0.25">
      <c r="A569" s="10" t="s">
        <v>28</v>
      </c>
      <c r="B569" s="10" t="s">
        <v>10</v>
      </c>
      <c r="C569" s="11" t="s">
        <v>12</v>
      </c>
      <c r="D569" s="20">
        <v>250</v>
      </c>
      <c r="E569" s="20">
        <v>300</v>
      </c>
      <c r="F569" s="16">
        <v>1094</v>
      </c>
      <c r="G569" s="20">
        <v>16410</v>
      </c>
      <c r="H569" s="12">
        <v>45809</v>
      </c>
    </row>
    <row r="570" spans="1:8" x14ac:dyDescent="0.25">
      <c r="A570" s="10" t="s">
        <v>28</v>
      </c>
      <c r="B570" s="10" t="s">
        <v>4</v>
      </c>
      <c r="C570" s="11" t="s">
        <v>12</v>
      </c>
      <c r="D570" s="20">
        <v>250</v>
      </c>
      <c r="E570" s="20">
        <v>300</v>
      </c>
      <c r="F570" s="16">
        <v>2460</v>
      </c>
      <c r="G570" s="20">
        <v>36900</v>
      </c>
      <c r="H570" s="12">
        <v>45809</v>
      </c>
    </row>
    <row r="571" spans="1:8" x14ac:dyDescent="0.25">
      <c r="A571" s="10" t="s">
        <v>44</v>
      </c>
      <c r="B571" s="10" t="s">
        <v>6</v>
      </c>
      <c r="C571" s="11" t="s">
        <v>13</v>
      </c>
      <c r="D571" s="20">
        <v>10</v>
      </c>
      <c r="E571" s="20">
        <v>15</v>
      </c>
      <c r="F571" s="16">
        <v>888</v>
      </c>
      <c r="G571" s="20">
        <v>0</v>
      </c>
      <c r="H571" s="12">
        <v>45809</v>
      </c>
    </row>
    <row r="572" spans="1:8" x14ac:dyDescent="0.25">
      <c r="A572" s="10" t="s">
        <v>44</v>
      </c>
      <c r="B572" s="10" t="s">
        <v>9</v>
      </c>
      <c r="C572" s="11" t="s">
        <v>13</v>
      </c>
      <c r="D572" s="20">
        <v>10</v>
      </c>
      <c r="E572" s="20">
        <v>15</v>
      </c>
      <c r="F572" s="16">
        <v>2567</v>
      </c>
      <c r="G572" s="20">
        <v>1925.25</v>
      </c>
      <c r="H572" s="12">
        <v>45809</v>
      </c>
    </row>
    <row r="573" spans="1:8" x14ac:dyDescent="0.25">
      <c r="A573" s="10" t="s">
        <v>44</v>
      </c>
      <c r="B573" s="10" t="s">
        <v>4</v>
      </c>
      <c r="C573" s="11" t="s">
        <v>13</v>
      </c>
      <c r="D573" s="20">
        <v>10</v>
      </c>
      <c r="E573" s="20">
        <v>15</v>
      </c>
      <c r="F573" s="16">
        <v>2470</v>
      </c>
      <c r="G573" s="20">
        <v>0</v>
      </c>
      <c r="H573" s="12">
        <v>45809</v>
      </c>
    </row>
    <row r="574" spans="1:8" x14ac:dyDescent="0.25">
      <c r="A574" s="10" t="s">
        <v>44</v>
      </c>
      <c r="B574" s="10" t="s">
        <v>7</v>
      </c>
      <c r="C574" s="11" t="s">
        <v>13</v>
      </c>
      <c r="D574" s="20">
        <v>10</v>
      </c>
      <c r="E574" s="20">
        <v>15</v>
      </c>
      <c r="F574" s="16">
        <v>2178</v>
      </c>
      <c r="G574" s="20">
        <v>0</v>
      </c>
      <c r="H574" s="12">
        <v>45809</v>
      </c>
    </row>
    <row r="575" spans="1:8" x14ac:dyDescent="0.25">
      <c r="A575" s="10" t="s">
        <v>28</v>
      </c>
      <c r="B575" s="10" t="s">
        <v>6</v>
      </c>
      <c r="C575" s="11" t="s">
        <v>13</v>
      </c>
      <c r="D575" s="20">
        <v>250</v>
      </c>
      <c r="E575" s="20">
        <v>300</v>
      </c>
      <c r="F575" s="16">
        <v>689</v>
      </c>
      <c r="G575" s="20">
        <v>10335</v>
      </c>
      <c r="H575" s="12">
        <v>45809</v>
      </c>
    </row>
    <row r="576" spans="1:8" x14ac:dyDescent="0.25">
      <c r="A576" s="10" t="s">
        <v>17</v>
      </c>
      <c r="B576" s="10" t="s">
        <v>9</v>
      </c>
      <c r="C576" s="11" t="s">
        <v>13</v>
      </c>
      <c r="D576" s="20">
        <v>250</v>
      </c>
      <c r="E576" s="20">
        <v>300</v>
      </c>
      <c r="F576" s="16">
        <v>3000</v>
      </c>
      <c r="G576" s="20">
        <v>14865</v>
      </c>
      <c r="H576" s="12">
        <v>45809</v>
      </c>
    </row>
    <row r="577" spans="1:8" x14ac:dyDescent="0.25">
      <c r="A577" s="10" t="s">
        <v>28</v>
      </c>
      <c r="B577" s="10" t="s">
        <v>7</v>
      </c>
      <c r="C577" s="11" t="s">
        <v>13</v>
      </c>
      <c r="D577" s="20">
        <v>250</v>
      </c>
      <c r="E577" s="20">
        <v>300</v>
      </c>
      <c r="F577" s="16">
        <v>448</v>
      </c>
      <c r="G577" s="20">
        <v>6720</v>
      </c>
      <c r="H577" s="12">
        <v>45809</v>
      </c>
    </row>
    <row r="578" spans="1:8" x14ac:dyDescent="0.25">
      <c r="A578" s="10" t="s">
        <v>15</v>
      </c>
      <c r="B578" s="10" t="s">
        <v>4</v>
      </c>
      <c r="C578" s="11" t="s">
        <v>13</v>
      </c>
      <c r="D578" s="20">
        <v>260</v>
      </c>
      <c r="E578" s="20">
        <v>350</v>
      </c>
      <c r="F578" s="16">
        <v>886</v>
      </c>
      <c r="G578" s="20">
        <v>15505</v>
      </c>
      <c r="H578" s="12">
        <v>45809</v>
      </c>
    </row>
    <row r="579" spans="1:8" x14ac:dyDescent="0.25">
      <c r="A579" s="10" t="s">
        <v>17</v>
      </c>
      <c r="B579" s="10" t="s">
        <v>6</v>
      </c>
      <c r="C579" s="11" t="s">
        <v>5</v>
      </c>
      <c r="D579" s="20">
        <v>3</v>
      </c>
      <c r="E579" s="20">
        <v>12</v>
      </c>
      <c r="F579" s="16">
        <v>1545</v>
      </c>
      <c r="G579" s="20">
        <v>0</v>
      </c>
      <c r="H579" s="12">
        <v>45809</v>
      </c>
    </row>
    <row r="580" spans="1:8" x14ac:dyDescent="0.25">
      <c r="A580" s="10" t="s">
        <v>17</v>
      </c>
      <c r="B580" s="10" t="s">
        <v>9</v>
      </c>
      <c r="C580" s="11" t="s">
        <v>5</v>
      </c>
      <c r="D580" s="20">
        <v>3</v>
      </c>
      <c r="E580" s="20">
        <v>12</v>
      </c>
      <c r="F580" s="16">
        <v>1142</v>
      </c>
      <c r="G580" s="20">
        <v>137.04</v>
      </c>
      <c r="H580" s="12">
        <v>45809</v>
      </c>
    </row>
    <row r="581" spans="1:8" x14ac:dyDescent="0.25">
      <c r="A581" s="10" t="s">
        <v>17</v>
      </c>
      <c r="B581" s="10" t="s">
        <v>4</v>
      </c>
      <c r="C581" s="11" t="s">
        <v>5</v>
      </c>
      <c r="D581" s="20">
        <v>3</v>
      </c>
      <c r="E581" s="20">
        <v>12</v>
      </c>
      <c r="F581" s="16">
        <v>604</v>
      </c>
      <c r="G581" s="20">
        <v>362.40000000000003</v>
      </c>
      <c r="H581" s="12">
        <v>45809</v>
      </c>
    </row>
    <row r="582" spans="1:8" x14ac:dyDescent="0.25">
      <c r="A582" s="10" t="s">
        <v>15</v>
      </c>
      <c r="B582" s="10" t="s">
        <v>10</v>
      </c>
      <c r="C582" s="11" t="s">
        <v>5</v>
      </c>
      <c r="D582" s="20">
        <v>5</v>
      </c>
      <c r="E582" s="20">
        <v>7</v>
      </c>
      <c r="F582" s="16">
        <v>1135</v>
      </c>
      <c r="G582" s="20">
        <v>0</v>
      </c>
      <c r="H582" s="12">
        <v>45809</v>
      </c>
    </row>
    <row r="583" spans="1:8" x14ac:dyDescent="0.25">
      <c r="A583" s="10" t="s">
        <v>15</v>
      </c>
      <c r="B583" s="10" t="s">
        <v>6</v>
      </c>
      <c r="C583" s="11" t="s">
        <v>5</v>
      </c>
      <c r="D583" s="20">
        <v>5</v>
      </c>
      <c r="E583" s="20">
        <v>7</v>
      </c>
      <c r="F583" s="16">
        <v>300</v>
      </c>
      <c r="G583" s="20">
        <v>105</v>
      </c>
      <c r="H583" s="12">
        <v>45809</v>
      </c>
    </row>
    <row r="584" spans="1:8" x14ac:dyDescent="0.25">
      <c r="A584" s="10" t="s">
        <v>15</v>
      </c>
      <c r="B584" s="10" t="s">
        <v>9</v>
      </c>
      <c r="C584" s="11" t="s">
        <v>5</v>
      </c>
      <c r="D584" s="20">
        <v>5</v>
      </c>
      <c r="E584" s="20">
        <v>7</v>
      </c>
      <c r="F584" s="16">
        <v>2907</v>
      </c>
      <c r="G584" s="20">
        <v>1017.45</v>
      </c>
      <c r="H584" s="12">
        <v>45809</v>
      </c>
    </row>
    <row r="585" spans="1:8" x14ac:dyDescent="0.25">
      <c r="A585" s="10" t="s">
        <v>28</v>
      </c>
      <c r="B585" s="10" t="s">
        <v>4</v>
      </c>
      <c r="C585" s="11" t="s">
        <v>5</v>
      </c>
      <c r="D585" s="20">
        <v>5</v>
      </c>
      <c r="E585" s="20">
        <v>7</v>
      </c>
      <c r="F585" s="16">
        <v>1498</v>
      </c>
      <c r="G585" s="20">
        <v>524.30000000000007</v>
      </c>
      <c r="H585" s="12">
        <v>45809</v>
      </c>
    </row>
    <row r="586" spans="1:8" x14ac:dyDescent="0.25">
      <c r="A586" s="10" t="s">
        <v>17</v>
      </c>
      <c r="B586" s="10" t="s">
        <v>7</v>
      </c>
      <c r="C586" s="11" t="s">
        <v>5</v>
      </c>
      <c r="D586" s="20">
        <v>5</v>
      </c>
      <c r="E586" s="20">
        <v>7</v>
      </c>
      <c r="F586" s="16">
        <v>1190</v>
      </c>
      <c r="G586" s="20">
        <v>416.5</v>
      </c>
      <c r="H586" s="12">
        <v>45809</v>
      </c>
    </row>
    <row r="587" spans="1:8" x14ac:dyDescent="0.25">
      <c r="A587" s="10" t="s">
        <v>11</v>
      </c>
      <c r="B587" s="10" t="s">
        <v>9</v>
      </c>
      <c r="C587" s="11" t="s">
        <v>5</v>
      </c>
      <c r="D587" s="20">
        <v>120</v>
      </c>
      <c r="E587" s="20">
        <v>125</v>
      </c>
      <c r="F587" s="16">
        <v>727</v>
      </c>
      <c r="G587" s="20">
        <v>4543.75</v>
      </c>
      <c r="H587" s="12">
        <v>45809</v>
      </c>
    </row>
    <row r="588" spans="1:8" x14ac:dyDescent="0.25">
      <c r="A588" s="10" t="s">
        <v>28</v>
      </c>
      <c r="B588" s="10" t="s">
        <v>9</v>
      </c>
      <c r="C588" s="11" t="s">
        <v>5</v>
      </c>
      <c r="D588" s="20">
        <v>250</v>
      </c>
      <c r="E588" s="20">
        <v>300</v>
      </c>
      <c r="F588" s="16">
        <v>991</v>
      </c>
      <c r="G588" s="20">
        <v>14865</v>
      </c>
      <c r="H588" s="12">
        <v>45809</v>
      </c>
    </row>
    <row r="589" spans="1:8" x14ac:dyDescent="0.25">
      <c r="A589" s="10" t="s">
        <v>15</v>
      </c>
      <c r="B589" s="10" t="s">
        <v>10</v>
      </c>
      <c r="C589" s="11" t="s">
        <v>5</v>
      </c>
      <c r="D589" s="20">
        <v>260</v>
      </c>
      <c r="E589" s="20">
        <v>350</v>
      </c>
      <c r="F589" s="16">
        <v>50</v>
      </c>
      <c r="G589" s="20">
        <v>875</v>
      </c>
      <c r="H589" s="12">
        <v>45809</v>
      </c>
    </row>
    <row r="590" spans="1:8" x14ac:dyDescent="0.25">
      <c r="A590" s="10" t="s">
        <v>15</v>
      </c>
      <c r="B590" s="10" t="s">
        <v>6</v>
      </c>
      <c r="C590" s="11" t="s">
        <v>5</v>
      </c>
      <c r="D590" s="20">
        <v>260</v>
      </c>
      <c r="E590" s="20">
        <v>350</v>
      </c>
      <c r="F590" s="16">
        <v>1006</v>
      </c>
      <c r="G590" s="20">
        <v>0</v>
      </c>
      <c r="H590" s="12">
        <v>45809</v>
      </c>
    </row>
    <row r="591" spans="1:8" x14ac:dyDescent="0.25">
      <c r="A591" s="10" t="s">
        <v>15</v>
      </c>
      <c r="B591" s="10" t="s">
        <v>9</v>
      </c>
      <c r="C591" s="11" t="s">
        <v>5</v>
      </c>
      <c r="D591" s="20">
        <v>260</v>
      </c>
      <c r="E591" s="20">
        <v>350</v>
      </c>
      <c r="F591" s="16">
        <v>602</v>
      </c>
      <c r="G591" s="20">
        <v>10535</v>
      </c>
      <c r="H591" s="12">
        <v>45809</v>
      </c>
    </row>
    <row r="592" spans="1:8" x14ac:dyDescent="0.25">
      <c r="A592" s="10" t="s">
        <v>15</v>
      </c>
      <c r="B592" s="10" t="s">
        <v>9</v>
      </c>
      <c r="C592" s="11" t="s">
        <v>5</v>
      </c>
      <c r="D592" s="20">
        <v>260</v>
      </c>
      <c r="E592" s="20">
        <v>350</v>
      </c>
      <c r="F592" s="16">
        <v>602</v>
      </c>
      <c r="G592" s="20">
        <v>10535</v>
      </c>
      <c r="H592" s="12">
        <v>45809</v>
      </c>
    </row>
    <row r="593" spans="1:8" x14ac:dyDescent="0.25">
      <c r="A593" s="10" t="s">
        <v>17</v>
      </c>
      <c r="B593" s="10" t="s">
        <v>7</v>
      </c>
      <c r="C593" s="11" t="s">
        <v>5</v>
      </c>
      <c r="D593" s="20">
        <v>260</v>
      </c>
      <c r="E593" s="20">
        <v>350</v>
      </c>
      <c r="F593" s="16">
        <v>1496</v>
      </c>
      <c r="G593" s="20">
        <v>26180</v>
      </c>
      <c r="H593" s="12">
        <v>45809</v>
      </c>
    </row>
    <row r="594" spans="1:8" x14ac:dyDescent="0.25">
      <c r="A594" s="10" t="s">
        <v>17</v>
      </c>
      <c r="B594" s="10" t="s">
        <v>10</v>
      </c>
      <c r="C594" s="11" t="s">
        <v>14</v>
      </c>
      <c r="D594" s="20">
        <v>3</v>
      </c>
      <c r="E594" s="20">
        <v>12</v>
      </c>
      <c r="F594" s="16">
        <v>2518</v>
      </c>
      <c r="G594" s="20">
        <v>0</v>
      </c>
      <c r="H594" s="12">
        <v>45809</v>
      </c>
    </row>
    <row r="595" spans="1:8" x14ac:dyDescent="0.25">
      <c r="A595" s="10" t="s">
        <v>17</v>
      </c>
      <c r="B595" s="10" t="s">
        <v>6</v>
      </c>
      <c r="C595" s="11" t="s">
        <v>14</v>
      </c>
      <c r="D595" s="20">
        <v>3</v>
      </c>
      <c r="E595" s="20">
        <v>12</v>
      </c>
      <c r="F595" s="16">
        <v>1545</v>
      </c>
      <c r="G595" s="20">
        <v>0</v>
      </c>
      <c r="H595" s="12">
        <v>45809</v>
      </c>
    </row>
    <row r="596" spans="1:8" x14ac:dyDescent="0.25">
      <c r="A596" s="10" t="s">
        <v>17</v>
      </c>
      <c r="B596" s="10" t="s">
        <v>9</v>
      </c>
      <c r="C596" s="11" t="s">
        <v>14</v>
      </c>
      <c r="D596" s="20">
        <v>3</v>
      </c>
      <c r="E596" s="20">
        <v>12</v>
      </c>
      <c r="F596" s="16">
        <v>1142</v>
      </c>
      <c r="G596" s="20">
        <v>137.04</v>
      </c>
      <c r="H596" s="12">
        <v>45809</v>
      </c>
    </row>
    <row r="597" spans="1:8" x14ac:dyDescent="0.25">
      <c r="A597" s="10" t="s">
        <v>17</v>
      </c>
      <c r="B597" s="10" t="s">
        <v>4</v>
      </c>
      <c r="C597" s="11" t="s">
        <v>14</v>
      </c>
      <c r="D597" s="20">
        <v>3</v>
      </c>
      <c r="E597" s="20">
        <v>12</v>
      </c>
      <c r="F597" s="16">
        <v>604</v>
      </c>
      <c r="G597" s="20">
        <v>362.40000000000003</v>
      </c>
      <c r="H597" s="12">
        <v>45809</v>
      </c>
    </row>
    <row r="598" spans="1:8" x14ac:dyDescent="0.25">
      <c r="A598" s="10" t="s">
        <v>17</v>
      </c>
      <c r="B598" s="10" t="s">
        <v>7</v>
      </c>
      <c r="C598" s="11" t="s">
        <v>14</v>
      </c>
      <c r="D598" s="20">
        <v>3</v>
      </c>
      <c r="E598" s="20">
        <v>12</v>
      </c>
      <c r="F598" s="16">
        <v>1901</v>
      </c>
      <c r="G598" s="20">
        <v>1140.6000000000001</v>
      </c>
      <c r="H598" s="12">
        <v>45809</v>
      </c>
    </row>
    <row r="599" spans="1:8" x14ac:dyDescent="0.25">
      <c r="A599" s="10" t="s">
        <v>15</v>
      </c>
      <c r="B599" s="10" t="s">
        <v>10</v>
      </c>
      <c r="C599" s="11" t="s">
        <v>14</v>
      </c>
      <c r="D599" s="20">
        <v>10</v>
      </c>
      <c r="E599" s="20">
        <v>20</v>
      </c>
      <c r="F599" s="16">
        <v>708</v>
      </c>
      <c r="G599" s="20">
        <v>708</v>
      </c>
      <c r="H599" s="12">
        <v>45809</v>
      </c>
    </row>
    <row r="600" spans="1:8" x14ac:dyDescent="0.25">
      <c r="A600" s="10" t="s">
        <v>15</v>
      </c>
      <c r="B600" s="10" t="s">
        <v>6</v>
      </c>
      <c r="C600" s="11" t="s">
        <v>14</v>
      </c>
      <c r="D600" s="20">
        <v>10</v>
      </c>
      <c r="E600" s="20">
        <v>20</v>
      </c>
      <c r="F600" s="16">
        <v>1366</v>
      </c>
      <c r="G600" s="20">
        <v>1366</v>
      </c>
      <c r="H600" s="12">
        <v>45809</v>
      </c>
    </row>
    <row r="601" spans="1:8" x14ac:dyDescent="0.25">
      <c r="A601" s="10" t="s">
        <v>15</v>
      </c>
      <c r="B601" s="10" t="s">
        <v>9</v>
      </c>
      <c r="C601" s="11" t="s">
        <v>14</v>
      </c>
      <c r="D601" s="20">
        <v>10</v>
      </c>
      <c r="E601" s="20">
        <v>20</v>
      </c>
      <c r="F601" s="16">
        <v>1282</v>
      </c>
      <c r="G601" s="20">
        <v>1282</v>
      </c>
      <c r="H601" s="12">
        <v>45809</v>
      </c>
    </row>
    <row r="602" spans="1:8" x14ac:dyDescent="0.25">
      <c r="A602" s="10" t="s">
        <v>44</v>
      </c>
      <c r="B602" s="10" t="s">
        <v>4</v>
      </c>
      <c r="C602" s="11" t="s">
        <v>14</v>
      </c>
      <c r="D602" s="20">
        <v>10</v>
      </c>
      <c r="E602" s="20">
        <v>15</v>
      </c>
      <c r="F602" s="16">
        <v>2470</v>
      </c>
      <c r="G602" s="20">
        <v>0</v>
      </c>
      <c r="H602" s="12">
        <v>45809</v>
      </c>
    </row>
    <row r="603" spans="1:8" x14ac:dyDescent="0.25">
      <c r="A603" s="10" t="s">
        <v>15</v>
      </c>
      <c r="B603" s="10" t="s">
        <v>7</v>
      </c>
      <c r="C603" s="11" t="s">
        <v>14</v>
      </c>
      <c r="D603" s="20">
        <v>10</v>
      </c>
      <c r="E603" s="20">
        <v>20</v>
      </c>
      <c r="F603" s="16">
        <v>1899</v>
      </c>
      <c r="G603" s="20">
        <v>0</v>
      </c>
      <c r="H603" s="12">
        <v>45809</v>
      </c>
    </row>
    <row r="604" spans="1:8" x14ac:dyDescent="0.25">
      <c r="A604" s="10" t="s">
        <v>11</v>
      </c>
      <c r="B604" s="10" t="s">
        <v>6</v>
      </c>
      <c r="C604" s="11" t="s">
        <v>14</v>
      </c>
      <c r="D604" s="20">
        <v>120</v>
      </c>
      <c r="E604" s="20">
        <v>125</v>
      </c>
      <c r="F604" s="16">
        <v>1570</v>
      </c>
      <c r="G604" s="20">
        <v>9812.5</v>
      </c>
      <c r="H604" s="12">
        <v>45809</v>
      </c>
    </row>
    <row r="605" spans="1:8" x14ac:dyDescent="0.25">
      <c r="A605" s="10" t="s">
        <v>28</v>
      </c>
      <c r="B605" s="10" t="s">
        <v>6</v>
      </c>
      <c r="C605" s="11" t="s">
        <v>14</v>
      </c>
      <c r="D605" s="20">
        <v>250</v>
      </c>
      <c r="E605" s="20">
        <v>300</v>
      </c>
      <c r="F605" s="16">
        <v>689</v>
      </c>
      <c r="G605" s="20">
        <v>10335</v>
      </c>
      <c r="H605" s="12">
        <v>45809</v>
      </c>
    </row>
    <row r="606" spans="1:8" x14ac:dyDescent="0.25">
      <c r="A606" s="10" t="s">
        <v>15</v>
      </c>
      <c r="B606" s="10" t="s">
        <v>6</v>
      </c>
      <c r="C606" s="11" t="s">
        <v>14</v>
      </c>
      <c r="D606" s="20">
        <v>260</v>
      </c>
      <c r="E606" s="20">
        <v>350</v>
      </c>
      <c r="F606" s="16">
        <v>1006</v>
      </c>
      <c r="G606" s="20">
        <v>0</v>
      </c>
      <c r="H606" s="12">
        <v>45809</v>
      </c>
    </row>
    <row r="607" spans="1:8" x14ac:dyDescent="0.25">
      <c r="A607" s="10" t="s">
        <v>17</v>
      </c>
      <c r="B607" s="10" t="s">
        <v>10</v>
      </c>
      <c r="C607" s="11" t="s">
        <v>8</v>
      </c>
      <c r="D607" s="20">
        <v>3</v>
      </c>
      <c r="E607" s="20">
        <v>12</v>
      </c>
      <c r="F607" s="16">
        <v>2518</v>
      </c>
      <c r="G607" s="20">
        <v>0</v>
      </c>
      <c r="H607" s="12">
        <v>45809</v>
      </c>
    </row>
    <row r="608" spans="1:8" x14ac:dyDescent="0.25">
      <c r="A608" s="10" t="s">
        <v>17</v>
      </c>
      <c r="B608" s="10" t="s">
        <v>7</v>
      </c>
      <c r="C608" s="11" t="s">
        <v>8</v>
      </c>
      <c r="D608" s="20">
        <v>3</v>
      </c>
      <c r="E608" s="20">
        <v>12</v>
      </c>
      <c r="F608" s="16">
        <v>1901</v>
      </c>
      <c r="G608" s="20">
        <v>1140.6000000000001</v>
      </c>
      <c r="H608" s="12">
        <v>45809</v>
      </c>
    </row>
    <row r="609" spans="1:8" x14ac:dyDescent="0.25">
      <c r="A609" s="10" t="s">
        <v>15</v>
      </c>
      <c r="B609" s="10" t="s">
        <v>4</v>
      </c>
      <c r="C609" s="11" t="s">
        <v>8</v>
      </c>
      <c r="D609" s="20">
        <v>10</v>
      </c>
      <c r="E609" s="20">
        <v>20</v>
      </c>
      <c r="F609" s="16">
        <v>1038</v>
      </c>
      <c r="G609" s="20">
        <v>1038</v>
      </c>
      <c r="H609" s="12">
        <v>45809</v>
      </c>
    </row>
    <row r="610" spans="1:8" x14ac:dyDescent="0.25">
      <c r="A610" s="10" t="s">
        <v>11</v>
      </c>
      <c r="B610" s="10" t="s">
        <v>10</v>
      </c>
      <c r="C610" s="11" t="s">
        <v>8</v>
      </c>
      <c r="D610" s="20">
        <v>120</v>
      </c>
      <c r="E610" s="20">
        <v>125</v>
      </c>
      <c r="F610" s="16">
        <v>1583</v>
      </c>
      <c r="G610" s="20">
        <v>9893.75</v>
      </c>
      <c r="H610" s="12">
        <v>45809</v>
      </c>
    </row>
    <row r="611" spans="1:8" x14ac:dyDescent="0.25">
      <c r="A611" s="10" t="s">
        <v>11</v>
      </c>
      <c r="B611" s="10" t="s">
        <v>4</v>
      </c>
      <c r="C611" s="11" t="s">
        <v>8</v>
      </c>
      <c r="D611" s="20">
        <v>120</v>
      </c>
      <c r="E611" s="20">
        <v>125</v>
      </c>
      <c r="F611" s="16">
        <v>662</v>
      </c>
      <c r="G611" s="20">
        <v>4137.5</v>
      </c>
      <c r="H611" s="12">
        <v>45809</v>
      </c>
    </row>
    <row r="612" spans="1:8" x14ac:dyDescent="0.25">
      <c r="A612" s="10" t="s">
        <v>11</v>
      </c>
      <c r="B612" s="10" t="s">
        <v>7</v>
      </c>
      <c r="C612" s="11" t="s">
        <v>8</v>
      </c>
      <c r="D612" s="20">
        <v>120</v>
      </c>
      <c r="E612" s="20">
        <v>125</v>
      </c>
      <c r="F612" s="16">
        <v>787</v>
      </c>
      <c r="G612" s="20">
        <v>4918.75</v>
      </c>
      <c r="H612" s="12">
        <v>45809</v>
      </c>
    </row>
    <row r="613" spans="1:8" x14ac:dyDescent="0.25">
      <c r="A613" s="10" t="s">
        <v>28</v>
      </c>
      <c r="B613" s="10" t="s">
        <v>10</v>
      </c>
      <c r="C613" s="11" t="s">
        <v>8</v>
      </c>
      <c r="D613" s="20">
        <v>250</v>
      </c>
      <c r="E613" s="20">
        <v>300</v>
      </c>
      <c r="F613" s="16">
        <v>1094</v>
      </c>
      <c r="G613" s="20">
        <v>16410</v>
      </c>
      <c r="H613" s="12">
        <v>45809</v>
      </c>
    </row>
    <row r="614" spans="1:8" x14ac:dyDescent="0.25">
      <c r="A614" s="10" t="s">
        <v>28</v>
      </c>
      <c r="B614" s="10" t="s">
        <v>4</v>
      </c>
      <c r="C614" s="11" t="s">
        <v>8</v>
      </c>
      <c r="D614" s="20">
        <v>250</v>
      </c>
      <c r="E614" s="20">
        <v>300</v>
      </c>
      <c r="F614" s="16">
        <v>2460</v>
      </c>
      <c r="G614" s="20">
        <v>36900</v>
      </c>
      <c r="H614" s="12">
        <v>45809</v>
      </c>
    </row>
    <row r="615" spans="1:8" x14ac:dyDescent="0.25">
      <c r="A615" s="10" t="s">
        <v>28</v>
      </c>
      <c r="B615" s="10" t="s">
        <v>7</v>
      </c>
      <c r="C615" s="11" t="s">
        <v>8</v>
      </c>
      <c r="D615" s="20">
        <v>250</v>
      </c>
      <c r="E615" s="20">
        <v>300</v>
      </c>
      <c r="F615" s="16">
        <v>448</v>
      </c>
      <c r="G615" s="20">
        <v>6720</v>
      </c>
      <c r="H615" s="12">
        <v>45809</v>
      </c>
    </row>
    <row r="616" spans="1:8" x14ac:dyDescent="0.25">
      <c r="A616" s="10" t="s">
        <v>15</v>
      </c>
      <c r="B616" s="10" t="s">
        <v>10</v>
      </c>
      <c r="C616" s="11" t="s">
        <v>8</v>
      </c>
      <c r="D616" s="20">
        <v>260</v>
      </c>
      <c r="E616" s="20">
        <v>350</v>
      </c>
      <c r="F616" s="16">
        <v>20</v>
      </c>
      <c r="G616" s="20">
        <v>0</v>
      </c>
      <c r="H616" s="12">
        <v>45809</v>
      </c>
    </row>
    <row r="617" spans="1:8" x14ac:dyDescent="0.25">
      <c r="A617" s="10" t="s">
        <v>15</v>
      </c>
      <c r="B617" s="10" t="s">
        <v>4</v>
      </c>
      <c r="C617" s="11" t="s">
        <v>8</v>
      </c>
      <c r="D617" s="20">
        <v>260</v>
      </c>
      <c r="E617" s="20">
        <v>350</v>
      </c>
      <c r="F617" s="16">
        <v>886</v>
      </c>
      <c r="G617" s="20">
        <v>15505</v>
      </c>
      <c r="H617" s="12">
        <v>45809</v>
      </c>
    </row>
    <row r="618" spans="1:8" x14ac:dyDescent="0.25">
      <c r="A618" s="10" t="s">
        <v>17</v>
      </c>
      <c r="B618" s="10" t="s">
        <v>7</v>
      </c>
      <c r="C618" s="11" t="s">
        <v>8</v>
      </c>
      <c r="D618" s="20">
        <v>260</v>
      </c>
      <c r="E618" s="20">
        <v>350</v>
      </c>
      <c r="F618" s="16">
        <v>1496</v>
      </c>
      <c r="G618" s="20">
        <v>26180</v>
      </c>
      <c r="H618" s="12">
        <v>45809</v>
      </c>
    </row>
    <row r="619" spans="1:8" x14ac:dyDescent="0.25">
      <c r="A619" s="10" t="s">
        <v>15</v>
      </c>
      <c r="B619" s="10" t="s">
        <v>6</v>
      </c>
      <c r="C619" s="11" t="s">
        <v>16</v>
      </c>
      <c r="D619" s="20">
        <v>5</v>
      </c>
      <c r="E619" s="20">
        <v>7</v>
      </c>
      <c r="F619" s="16">
        <v>200</v>
      </c>
      <c r="G619" s="20">
        <v>70</v>
      </c>
      <c r="H619" s="12">
        <v>45809</v>
      </c>
    </row>
    <row r="620" spans="1:8" x14ac:dyDescent="0.25">
      <c r="A620" s="10" t="s">
        <v>28</v>
      </c>
      <c r="B620" s="10" t="s">
        <v>4</v>
      </c>
      <c r="C620" s="11" t="s">
        <v>16</v>
      </c>
      <c r="D620" s="20">
        <v>5</v>
      </c>
      <c r="E620" s="20">
        <v>7</v>
      </c>
      <c r="F620" s="16">
        <v>1498</v>
      </c>
      <c r="G620" s="20">
        <v>524.30000000000007</v>
      </c>
      <c r="H620" s="12">
        <v>45809</v>
      </c>
    </row>
    <row r="621" spans="1:8" x14ac:dyDescent="0.25">
      <c r="A621" s="10" t="s">
        <v>44</v>
      </c>
      <c r="B621" s="10" t="s">
        <v>10</v>
      </c>
      <c r="C621" s="11" t="s">
        <v>16</v>
      </c>
      <c r="D621" s="20">
        <v>10</v>
      </c>
      <c r="E621" s="20">
        <v>15</v>
      </c>
      <c r="F621" s="16">
        <v>2844</v>
      </c>
      <c r="G621" s="20">
        <v>2133</v>
      </c>
      <c r="H621" s="12">
        <v>45809</v>
      </c>
    </row>
    <row r="622" spans="1:8" x14ac:dyDescent="0.25">
      <c r="A622" s="10" t="s">
        <v>44</v>
      </c>
      <c r="B622" s="10" t="s">
        <v>6</v>
      </c>
      <c r="C622" s="11" t="s">
        <v>16</v>
      </c>
      <c r="D622" s="20">
        <v>10</v>
      </c>
      <c r="E622" s="20">
        <v>15</v>
      </c>
      <c r="F622" s="16">
        <v>888</v>
      </c>
      <c r="G622" s="20">
        <v>0</v>
      </c>
      <c r="H622" s="12">
        <v>45809</v>
      </c>
    </row>
    <row r="623" spans="1:8" x14ac:dyDescent="0.25">
      <c r="A623" s="10" t="s">
        <v>44</v>
      </c>
      <c r="B623" s="10" t="s">
        <v>9</v>
      </c>
      <c r="C623" s="11" t="s">
        <v>16</v>
      </c>
      <c r="D623" s="20">
        <v>10</v>
      </c>
      <c r="E623" s="20">
        <v>15</v>
      </c>
      <c r="F623" s="16">
        <v>2567</v>
      </c>
      <c r="G623" s="20">
        <v>1925.25</v>
      </c>
      <c r="H623" s="12">
        <v>45809</v>
      </c>
    </row>
    <row r="624" spans="1:8" x14ac:dyDescent="0.25">
      <c r="A624" s="10" t="s">
        <v>44</v>
      </c>
      <c r="B624" s="10" t="s">
        <v>7</v>
      </c>
      <c r="C624" s="11" t="s">
        <v>16</v>
      </c>
      <c r="D624" s="20">
        <v>10</v>
      </c>
      <c r="E624" s="20">
        <v>15</v>
      </c>
      <c r="F624" s="16">
        <v>2178</v>
      </c>
      <c r="G624" s="20">
        <v>0</v>
      </c>
      <c r="H624" s="12">
        <v>45809</v>
      </c>
    </row>
    <row r="625" spans="1:8" x14ac:dyDescent="0.25">
      <c r="A625" s="10" t="s">
        <v>11</v>
      </c>
      <c r="B625" s="10" t="s">
        <v>10</v>
      </c>
      <c r="C625" s="11" t="s">
        <v>16</v>
      </c>
      <c r="D625" s="20">
        <v>120</v>
      </c>
      <c r="E625" s="20">
        <v>125</v>
      </c>
      <c r="F625" s="16">
        <v>1583</v>
      </c>
      <c r="G625" s="20">
        <v>9893.75</v>
      </c>
      <c r="H625" s="12">
        <v>45809</v>
      </c>
    </row>
    <row r="626" spans="1:8" x14ac:dyDescent="0.25">
      <c r="A626" s="10" t="s">
        <v>11</v>
      </c>
      <c r="B626" s="10" t="s">
        <v>6</v>
      </c>
      <c r="C626" s="11" t="s">
        <v>16</v>
      </c>
      <c r="D626" s="20">
        <v>120</v>
      </c>
      <c r="E626" s="20">
        <v>125</v>
      </c>
      <c r="F626" s="16">
        <v>1570</v>
      </c>
      <c r="G626" s="20">
        <v>9812.5</v>
      </c>
      <c r="H626" s="12">
        <v>45809</v>
      </c>
    </row>
    <row r="627" spans="1:8" x14ac:dyDescent="0.25">
      <c r="A627" s="10" t="s">
        <v>17</v>
      </c>
      <c r="B627" s="10" t="s">
        <v>9</v>
      </c>
      <c r="C627" s="11" t="s">
        <v>16</v>
      </c>
      <c r="D627" s="20">
        <v>120</v>
      </c>
      <c r="E627" s="20">
        <v>125</v>
      </c>
      <c r="F627" s="16">
        <v>727</v>
      </c>
      <c r="G627" s="20">
        <v>4543.75</v>
      </c>
      <c r="H627" s="12">
        <v>45809</v>
      </c>
    </row>
    <row r="628" spans="1:8" x14ac:dyDescent="0.25">
      <c r="A628" s="10" t="s">
        <v>11</v>
      </c>
      <c r="B628" s="10" t="s">
        <v>4</v>
      </c>
      <c r="C628" s="11" t="s">
        <v>16</v>
      </c>
      <c r="D628" s="20">
        <v>120</v>
      </c>
      <c r="E628" s="20">
        <v>125</v>
      </c>
      <c r="F628" s="16">
        <v>662</v>
      </c>
      <c r="G628" s="20">
        <v>4137.5</v>
      </c>
      <c r="H628" s="12">
        <v>45809</v>
      </c>
    </row>
    <row r="629" spans="1:8" x14ac:dyDescent="0.25">
      <c r="A629" s="10" t="s">
        <v>11</v>
      </c>
      <c r="B629" s="10" t="s">
        <v>7</v>
      </c>
      <c r="C629" s="11" t="s">
        <v>16</v>
      </c>
      <c r="D629" s="20">
        <v>120</v>
      </c>
      <c r="E629" s="20">
        <v>125</v>
      </c>
      <c r="F629" s="16">
        <v>787</v>
      </c>
      <c r="G629" s="20">
        <v>4918.75</v>
      </c>
      <c r="H629" s="12">
        <v>45809</v>
      </c>
    </row>
    <row r="630" spans="1:8" x14ac:dyDescent="0.25">
      <c r="A630" s="10" t="s">
        <v>15</v>
      </c>
      <c r="B630" s="10" t="s">
        <v>6</v>
      </c>
      <c r="C630" s="11" t="s">
        <v>12</v>
      </c>
      <c r="D630" s="20">
        <v>5</v>
      </c>
      <c r="E630" s="20">
        <v>7</v>
      </c>
      <c r="F630" s="16">
        <v>200</v>
      </c>
      <c r="G630" s="20">
        <v>0</v>
      </c>
      <c r="H630" s="12">
        <v>45839</v>
      </c>
    </row>
    <row r="631" spans="1:8" x14ac:dyDescent="0.25">
      <c r="A631" s="10" t="s">
        <v>28</v>
      </c>
      <c r="B631" s="10" t="s">
        <v>4</v>
      </c>
      <c r="C631" s="11" t="s">
        <v>12</v>
      </c>
      <c r="D631" s="20">
        <v>5</v>
      </c>
      <c r="E631" s="20">
        <v>7</v>
      </c>
      <c r="F631" s="16">
        <v>1683</v>
      </c>
      <c r="G631" s="20">
        <v>589.05000000000007</v>
      </c>
      <c r="H631" s="12">
        <v>45839</v>
      </c>
    </row>
    <row r="632" spans="1:8" x14ac:dyDescent="0.25">
      <c r="A632" s="10" t="s">
        <v>15</v>
      </c>
      <c r="B632" s="10" t="s">
        <v>7</v>
      </c>
      <c r="C632" s="11" t="s">
        <v>12</v>
      </c>
      <c r="D632" s="20">
        <v>5</v>
      </c>
      <c r="E632" s="20">
        <v>7</v>
      </c>
      <c r="F632" s="16">
        <v>421</v>
      </c>
      <c r="G632" s="20">
        <v>147.35</v>
      </c>
      <c r="H632" s="12">
        <v>45839</v>
      </c>
    </row>
    <row r="633" spans="1:8" x14ac:dyDescent="0.25">
      <c r="A633" s="10" t="s">
        <v>44</v>
      </c>
      <c r="B633" s="10" t="s">
        <v>10</v>
      </c>
      <c r="C633" s="11" t="s">
        <v>12</v>
      </c>
      <c r="D633" s="20">
        <v>10</v>
      </c>
      <c r="E633" s="20">
        <v>15</v>
      </c>
      <c r="F633" s="16">
        <v>1630</v>
      </c>
      <c r="G633" s="20">
        <v>1222.5</v>
      </c>
      <c r="H633" s="12">
        <v>45839</v>
      </c>
    </row>
    <row r="634" spans="1:8" x14ac:dyDescent="0.25">
      <c r="A634" s="10" t="s">
        <v>44</v>
      </c>
      <c r="B634" s="10" t="s">
        <v>9</v>
      </c>
      <c r="C634" s="11" t="s">
        <v>12</v>
      </c>
      <c r="D634" s="20">
        <v>10</v>
      </c>
      <c r="E634" s="20">
        <v>15</v>
      </c>
      <c r="F634" s="16">
        <v>3199</v>
      </c>
      <c r="G634" s="20">
        <v>2399.25</v>
      </c>
      <c r="H634" s="12">
        <v>45839</v>
      </c>
    </row>
    <row r="635" spans="1:8" x14ac:dyDescent="0.25">
      <c r="A635" s="10" t="s">
        <v>28</v>
      </c>
      <c r="B635" s="10" t="s">
        <v>10</v>
      </c>
      <c r="C635" s="11" t="s">
        <v>12</v>
      </c>
      <c r="D635" s="20">
        <v>250</v>
      </c>
      <c r="E635" s="20">
        <v>300</v>
      </c>
      <c r="F635" s="16">
        <v>2811</v>
      </c>
      <c r="G635" s="20">
        <v>42165</v>
      </c>
      <c r="H635" s="12">
        <v>45839</v>
      </c>
    </row>
    <row r="636" spans="1:8" x14ac:dyDescent="0.25">
      <c r="A636" s="10" t="s">
        <v>17</v>
      </c>
      <c r="B636" s="10" t="s">
        <v>10</v>
      </c>
      <c r="C636" s="11" t="s">
        <v>13</v>
      </c>
      <c r="D636" s="20">
        <v>3</v>
      </c>
      <c r="E636" s="20">
        <v>12</v>
      </c>
      <c r="F636" s="16">
        <v>4026</v>
      </c>
      <c r="G636" s="20">
        <v>2415.6</v>
      </c>
      <c r="H636" s="12">
        <v>45839</v>
      </c>
    </row>
    <row r="637" spans="1:8" x14ac:dyDescent="0.25">
      <c r="A637" s="10" t="s">
        <v>15</v>
      </c>
      <c r="B637" s="10" t="s">
        <v>10</v>
      </c>
      <c r="C637" s="11" t="s">
        <v>13</v>
      </c>
      <c r="D637" s="20">
        <v>5</v>
      </c>
      <c r="E637" s="20">
        <v>7</v>
      </c>
      <c r="F637" s="16">
        <v>819</v>
      </c>
      <c r="G637" s="20">
        <v>286.65000000000003</v>
      </c>
      <c r="H637" s="12">
        <v>45839</v>
      </c>
    </row>
    <row r="638" spans="1:8" x14ac:dyDescent="0.25">
      <c r="A638" s="10" t="s">
        <v>15</v>
      </c>
      <c r="B638" s="10" t="s">
        <v>9</v>
      </c>
      <c r="C638" s="11" t="s">
        <v>13</v>
      </c>
      <c r="D638" s="20">
        <v>5</v>
      </c>
      <c r="E638" s="20">
        <v>7</v>
      </c>
      <c r="F638" s="16">
        <v>2529</v>
      </c>
      <c r="G638" s="20">
        <v>88.515000000000001</v>
      </c>
      <c r="H638" s="12">
        <v>45839</v>
      </c>
    </row>
    <row r="639" spans="1:8" x14ac:dyDescent="0.25">
      <c r="A639" s="10" t="s">
        <v>28</v>
      </c>
      <c r="B639" s="10" t="s">
        <v>4</v>
      </c>
      <c r="C639" s="11" t="s">
        <v>13</v>
      </c>
      <c r="D639" s="20">
        <v>250</v>
      </c>
      <c r="E639" s="20">
        <v>300</v>
      </c>
      <c r="F639" s="16">
        <v>801</v>
      </c>
      <c r="G639" s="20">
        <v>12015</v>
      </c>
      <c r="H639" s="12">
        <v>45839</v>
      </c>
    </row>
    <row r="640" spans="1:8" x14ac:dyDescent="0.25">
      <c r="A640" s="10" t="s">
        <v>15</v>
      </c>
      <c r="B640" s="10" t="s">
        <v>10</v>
      </c>
      <c r="C640" s="11" t="s">
        <v>13</v>
      </c>
      <c r="D640" s="20">
        <v>260</v>
      </c>
      <c r="E640" s="20">
        <v>350</v>
      </c>
      <c r="F640" s="16">
        <v>2104</v>
      </c>
      <c r="G640" s="20">
        <v>36820</v>
      </c>
      <c r="H640" s="12">
        <v>45839</v>
      </c>
    </row>
    <row r="641" spans="1:8" x14ac:dyDescent="0.25">
      <c r="A641" s="10" t="s">
        <v>17</v>
      </c>
      <c r="B641" s="10" t="s">
        <v>9</v>
      </c>
      <c r="C641" s="11" t="s">
        <v>5</v>
      </c>
      <c r="D641" s="20">
        <v>3</v>
      </c>
      <c r="E641" s="20">
        <v>12</v>
      </c>
      <c r="F641" s="16">
        <v>1369</v>
      </c>
      <c r="G641" s="20">
        <v>821.40000000000009</v>
      </c>
      <c r="H641" s="12">
        <v>45839</v>
      </c>
    </row>
    <row r="642" spans="1:8" x14ac:dyDescent="0.25">
      <c r="A642" s="10" t="s">
        <v>28</v>
      </c>
      <c r="B642" s="10" t="s">
        <v>10</v>
      </c>
      <c r="C642" s="11" t="s">
        <v>5</v>
      </c>
      <c r="D642" s="20">
        <v>250</v>
      </c>
      <c r="E642" s="20">
        <v>300</v>
      </c>
      <c r="F642" s="16">
        <v>3793</v>
      </c>
      <c r="G642" s="20">
        <v>56895</v>
      </c>
      <c r="H642" s="12">
        <v>45839</v>
      </c>
    </row>
    <row r="643" spans="1:8" x14ac:dyDescent="0.25">
      <c r="A643" s="10" t="s">
        <v>28</v>
      </c>
      <c r="B643" s="10" t="s">
        <v>9</v>
      </c>
      <c r="C643" s="11" t="s">
        <v>5</v>
      </c>
      <c r="D643" s="20">
        <v>250</v>
      </c>
      <c r="E643" s="20">
        <v>300</v>
      </c>
      <c r="F643" s="16">
        <v>2460</v>
      </c>
      <c r="G643" s="20">
        <v>36900</v>
      </c>
      <c r="H643" s="12">
        <v>45839</v>
      </c>
    </row>
    <row r="644" spans="1:8" x14ac:dyDescent="0.25">
      <c r="A644" s="10" t="s">
        <v>28</v>
      </c>
      <c r="B644" s="10" t="s">
        <v>7</v>
      </c>
      <c r="C644" s="11" t="s">
        <v>5</v>
      </c>
      <c r="D644" s="20">
        <v>250</v>
      </c>
      <c r="E644" s="20">
        <v>300</v>
      </c>
      <c r="F644" s="16">
        <v>1659</v>
      </c>
      <c r="G644" s="20">
        <v>24885</v>
      </c>
      <c r="H644" s="12">
        <v>45839</v>
      </c>
    </row>
    <row r="645" spans="1:8" x14ac:dyDescent="0.25">
      <c r="A645" s="10" t="s">
        <v>15</v>
      </c>
      <c r="B645" s="10" t="s">
        <v>6</v>
      </c>
      <c r="C645" s="11" t="s">
        <v>5</v>
      </c>
      <c r="D645" s="20">
        <v>260</v>
      </c>
      <c r="E645" s="20">
        <v>350</v>
      </c>
      <c r="F645" s="16">
        <v>1307</v>
      </c>
      <c r="G645" s="20">
        <v>22872.5</v>
      </c>
      <c r="H645" s="12">
        <v>45839</v>
      </c>
    </row>
    <row r="646" spans="1:8" x14ac:dyDescent="0.25">
      <c r="A646" s="10" t="s">
        <v>15</v>
      </c>
      <c r="B646" s="10" t="s">
        <v>9</v>
      </c>
      <c r="C646" s="11" t="s">
        <v>5</v>
      </c>
      <c r="D646" s="20">
        <v>260</v>
      </c>
      <c r="E646" s="20">
        <v>350</v>
      </c>
      <c r="F646" s="16">
        <v>200</v>
      </c>
      <c r="G646" s="20">
        <v>3500</v>
      </c>
      <c r="H646" s="12">
        <v>45839</v>
      </c>
    </row>
    <row r="647" spans="1:8" x14ac:dyDescent="0.25">
      <c r="A647" s="10" t="s">
        <v>28</v>
      </c>
      <c r="B647" s="10" t="s">
        <v>4</v>
      </c>
      <c r="C647" s="11" t="s">
        <v>5</v>
      </c>
      <c r="D647" s="20">
        <v>260</v>
      </c>
      <c r="E647" s="20">
        <v>350</v>
      </c>
      <c r="F647" s="16">
        <v>1395</v>
      </c>
      <c r="G647" s="20">
        <v>24412.5</v>
      </c>
      <c r="H647" s="12">
        <v>45839</v>
      </c>
    </row>
    <row r="648" spans="1:8" x14ac:dyDescent="0.25">
      <c r="A648" s="10" t="s">
        <v>17</v>
      </c>
      <c r="B648" s="10" t="s">
        <v>7</v>
      </c>
      <c r="C648" s="11" t="s">
        <v>5</v>
      </c>
      <c r="D648" s="20">
        <v>260</v>
      </c>
      <c r="E648" s="20">
        <v>350</v>
      </c>
      <c r="F648" s="16">
        <v>639</v>
      </c>
      <c r="G648" s="20">
        <v>11182.5</v>
      </c>
      <c r="H648" s="12">
        <v>45839</v>
      </c>
    </row>
    <row r="649" spans="1:8" x14ac:dyDescent="0.25">
      <c r="A649" s="10" t="s">
        <v>17</v>
      </c>
      <c r="B649" s="10" t="s">
        <v>6</v>
      </c>
      <c r="C649" s="11" t="s">
        <v>14</v>
      </c>
      <c r="D649" s="20">
        <v>3</v>
      </c>
      <c r="E649" s="20">
        <v>12</v>
      </c>
      <c r="F649" s="16">
        <v>367</v>
      </c>
      <c r="G649" s="20">
        <v>0</v>
      </c>
      <c r="H649" s="12">
        <v>45839</v>
      </c>
    </row>
    <row r="650" spans="1:8" x14ac:dyDescent="0.25">
      <c r="A650" s="10" t="s">
        <v>15</v>
      </c>
      <c r="B650" s="10" t="s">
        <v>6</v>
      </c>
      <c r="C650" s="11" t="s">
        <v>14</v>
      </c>
      <c r="D650" s="20">
        <v>10</v>
      </c>
      <c r="E650" s="20">
        <v>20</v>
      </c>
      <c r="F650" s="16">
        <v>645</v>
      </c>
      <c r="G650" s="20">
        <v>645</v>
      </c>
      <c r="H650" s="12">
        <v>45839</v>
      </c>
    </row>
    <row r="651" spans="1:8" x14ac:dyDescent="0.25">
      <c r="A651" s="10" t="s">
        <v>28</v>
      </c>
      <c r="B651" s="10" t="s">
        <v>4</v>
      </c>
      <c r="C651" s="11" t="s">
        <v>14</v>
      </c>
      <c r="D651" s="20">
        <v>10</v>
      </c>
      <c r="E651" s="20">
        <v>20</v>
      </c>
      <c r="F651" s="16">
        <v>2255</v>
      </c>
      <c r="G651" s="20">
        <v>2255</v>
      </c>
      <c r="H651" s="12">
        <v>45839</v>
      </c>
    </row>
    <row r="652" spans="1:8" x14ac:dyDescent="0.25">
      <c r="A652" s="10" t="s">
        <v>17</v>
      </c>
      <c r="B652" s="10" t="s">
        <v>7</v>
      </c>
      <c r="C652" s="11" t="s">
        <v>14</v>
      </c>
      <c r="D652" s="20">
        <v>10</v>
      </c>
      <c r="E652" s="20">
        <v>20</v>
      </c>
      <c r="F652" s="16">
        <v>1375</v>
      </c>
      <c r="G652" s="20">
        <v>137.55000000000001</v>
      </c>
      <c r="H652" s="12">
        <v>45839</v>
      </c>
    </row>
    <row r="653" spans="1:8" x14ac:dyDescent="0.25">
      <c r="A653" s="10" t="s">
        <v>11</v>
      </c>
      <c r="B653" s="10" t="s">
        <v>10</v>
      </c>
      <c r="C653" s="11" t="s">
        <v>14</v>
      </c>
      <c r="D653" s="20">
        <v>120</v>
      </c>
      <c r="E653" s="20">
        <v>125</v>
      </c>
      <c r="F653" s="16">
        <v>2665</v>
      </c>
      <c r="G653" s="20">
        <v>0</v>
      </c>
      <c r="H653" s="12">
        <v>45839</v>
      </c>
    </row>
    <row r="654" spans="1:8" x14ac:dyDescent="0.25">
      <c r="A654" s="10" t="s">
        <v>11</v>
      </c>
      <c r="B654" s="10" t="s">
        <v>6</v>
      </c>
      <c r="C654" s="11" t="s">
        <v>14</v>
      </c>
      <c r="D654" s="20">
        <v>120</v>
      </c>
      <c r="E654" s="20">
        <v>125</v>
      </c>
      <c r="F654" s="16">
        <v>3513</v>
      </c>
      <c r="G654" s="20">
        <v>21956.25</v>
      </c>
      <c r="H654" s="12">
        <v>45839</v>
      </c>
    </row>
    <row r="655" spans="1:8" x14ac:dyDescent="0.25">
      <c r="A655" s="10" t="s">
        <v>11</v>
      </c>
      <c r="B655" s="10" t="s">
        <v>9</v>
      </c>
      <c r="C655" s="11" t="s">
        <v>14</v>
      </c>
      <c r="D655" s="20">
        <v>120</v>
      </c>
      <c r="E655" s="20">
        <v>125</v>
      </c>
      <c r="F655" s="16">
        <v>3627</v>
      </c>
      <c r="G655" s="20">
        <v>22668.75</v>
      </c>
      <c r="H655" s="12">
        <v>45839</v>
      </c>
    </row>
    <row r="656" spans="1:8" x14ac:dyDescent="0.25">
      <c r="A656" s="10" t="s">
        <v>17</v>
      </c>
      <c r="B656" s="10" t="s">
        <v>4</v>
      </c>
      <c r="C656" s="11" t="s">
        <v>8</v>
      </c>
      <c r="D656" s="20">
        <v>3</v>
      </c>
      <c r="E656" s="20">
        <v>12</v>
      </c>
      <c r="F656" s="16">
        <v>571</v>
      </c>
      <c r="G656" s="20">
        <v>342.6</v>
      </c>
      <c r="H656" s="12">
        <v>45839</v>
      </c>
    </row>
    <row r="657" spans="1:8" x14ac:dyDescent="0.25">
      <c r="A657" s="10" t="s">
        <v>17</v>
      </c>
      <c r="B657" s="10" t="s">
        <v>7</v>
      </c>
      <c r="C657" s="11" t="s">
        <v>8</v>
      </c>
      <c r="D657" s="20">
        <v>3</v>
      </c>
      <c r="E657" s="20">
        <v>12</v>
      </c>
      <c r="F657" s="16">
        <v>2425</v>
      </c>
      <c r="G657" s="20">
        <v>1455</v>
      </c>
      <c r="H657" s="12">
        <v>45839</v>
      </c>
    </row>
    <row r="658" spans="1:8" x14ac:dyDescent="0.25">
      <c r="A658" s="10" t="s">
        <v>11</v>
      </c>
      <c r="B658" s="10" t="s">
        <v>4</v>
      </c>
      <c r="C658" s="11" t="s">
        <v>8</v>
      </c>
      <c r="D658" s="20">
        <v>120</v>
      </c>
      <c r="E658" s="20">
        <v>125</v>
      </c>
      <c r="F658" s="16">
        <v>1823</v>
      </c>
      <c r="G658" s="20">
        <v>11393.75</v>
      </c>
      <c r="H658" s="12">
        <v>45839</v>
      </c>
    </row>
    <row r="659" spans="1:8" x14ac:dyDescent="0.25">
      <c r="A659" s="10" t="s">
        <v>11</v>
      </c>
      <c r="B659" s="10" t="s">
        <v>4</v>
      </c>
      <c r="C659" s="11" t="s">
        <v>8</v>
      </c>
      <c r="D659" s="20">
        <v>120</v>
      </c>
      <c r="E659" s="20">
        <v>125</v>
      </c>
      <c r="F659" s="16">
        <v>2988</v>
      </c>
      <c r="G659" s="20">
        <v>18675</v>
      </c>
      <c r="H659" s="12">
        <v>45839</v>
      </c>
    </row>
    <row r="660" spans="1:8" x14ac:dyDescent="0.25">
      <c r="A660" s="10" t="s">
        <v>15</v>
      </c>
      <c r="B660" s="10" t="s">
        <v>10</v>
      </c>
      <c r="C660" s="11" t="s">
        <v>16</v>
      </c>
      <c r="D660" s="20">
        <v>10</v>
      </c>
      <c r="E660" s="20">
        <v>20</v>
      </c>
      <c r="F660" s="16">
        <v>865</v>
      </c>
      <c r="G660" s="20">
        <v>865</v>
      </c>
      <c r="H660" s="12">
        <v>45839</v>
      </c>
    </row>
    <row r="661" spans="1:8" x14ac:dyDescent="0.25">
      <c r="A661" s="10" t="s">
        <v>44</v>
      </c>
      <c r="B661" s="10" t="s">
        <v>6</v>
      </c>
      <c r="C661" s="11" t="s">
        <v>16</v>
      </c>
      <c r="D661" s="20">
        <v>10</v>
      </c>
      <c r="E661" s="20">
        <v>15</v>
      </c>
      <c r="F661" s="16">
        <v>492</v>
      </c>
      <c r="G661" s="20">
        <v>369</v>
      </c>
      <c r="H661" s="12">
        <v>45839</v>
      </c>
    </row>
    <row r="662" spans="1:8" x14ac:dyDescent="0.25">
      <c r="A662" s="10" t="s">
        <v>15</v>
      </c>
      <c r="B662" s="10" t="s">
        <v>9</v>
      </c>
      <c r="C662" s="11" t="s">
        <v>16</v>
      </c>
      <c r="D662" s="20">
        <v>10</v>
      </c>
      <c r="E662" s="20">
        <v>20</v>
      </c>
      <c r="F662" s="16">
        <v>436</v>
      </c>
      <c r="G662" s="20">
        <v>436</v>
      </c>
      <c r="H662" s="12">
        <v>45839</v>
      </c>
    </row>
    <row r="663" spans="1:8" x14ac:dyDescent="0.25">
      <c r="A663" s="10" t="s">
        <v>44</v>
      </c>
      <c r="B663" s="10" t="s">
        <v>4</v>
      </c>
      <c r="C663" s="11" t="s">
        <v>16</v>
      </c>
      <c r="D663" s="20">
        <v>10</v>
      </c>
      <c r="E663" s="20">
        <v>15</v>
      </c>
      <c r="F663" s="16">
        <v>641</v>
      </c>
      <c r="G663" s="20">
        <v>480.75</v>
      </c>
      <c r="H663" s="12">
        <v>45839</v>
      </c>
    </row>
    <row r="664" spans="1:8" x14ac:dyDescent="0.25">
      <c r="A664" s="10" t="s">
        <v>44</v>
      </c>
      <c r="B664" s="10" t="s">
        <v>7</v>
      </c>
      <c r="C664" s="11" t="s">
        <v>16</v>
      </c>
      <c r="D664" s="20">
        <v>10</v>
      </c>
      <c r="E664" s="20">
        <v>15</v>
      </c>
      <c r="F664" s="16">
        <v>3874</v>
      </c>
      <c r="G664" s="20">
        <v>2905.5</v>
      </c>
      <c r="H664" s="12">
        <v>45839</v>
      </c>
    </row>
    <row r="665" spans="1:8" x14ac:dyDescent="0.25">
      <c r="A665" s="10" t="s">
        <v>17</v>
      </c>
      <c r="B665" s="10" t="s">
        <v>6</v>
      </c>
      <c r="C665" s="11" t="s">
        <v>12</v>
      </c>
      <c r="D665" s="20">
        <v>3</v>
      </c>
      <c r="E665" s="20">
        <v>12</v>
      </c>
      <c r="F665" s="16">
        <v>2574</v>
      </c>
      <c r="G665" s="20">
        <v>1544.4</v>
      </c>
      <c r="H665" s="12">
        <v>45870</v>
      </c>
    </row>
    <row r="666" spans="1:8" x14ac:dyDescent="0.25">
      <c r="A666" s="10" t="s">
        <v>17</v>
      </c>
      <c r="B666" s="10" t="s">
        <v>9</v>
      </c>
      <c r="C666" s="11" t="s">
        <v>12</v>
      </c>
      <c r="D666" s="20">
        <v>3</v>
      </c>
      <c r="E666" s="20">
        <v>12</v>
      </c>
      <c r="F666" s="16">
        <v>2141</v>
      </c>
      <c r="G666" s="20">
        <v>0</v>
      </c>
      <c r="H666" s="12">
        <v>45870</v>
      </c>
    </row>
    <row r="667" spans="1:8" x14ac:dyDescent="0.25">
      <c r="A667" s="10" t="s">
        <v>17</v>
      </c>
      <c r="B667" s="10" t="s">
        <v>4</v>
      </c>
      <c r="C667" s="11" t="s">
        <v>12</v>
      </c>
      <c r="D667" s="20">
        <v>3</v>
      </c>
      <c r="E667" s="20">
        <v>12</v>
      </c>
      <c r="F667" s="16">
        <v>1123</v>
      </c>
      <c r="G667" s="20">
        <v>673.80000000000007</v>
      </c>
      <c r="H667" s="12">
        <v>45870</v>
      </c>
    </row>
    <row r="668" spans="1:8" x14ac:dyDescent="0.25">
      <c r="A668" s="10" t="s">
        <v>17</v>
      </c>
      <c r="B668" s="10" t="s">
        <v>7</v>
      </c>
      <c r="C668" s="11" t="s">
        <v>12</v>
      </c>
      <c r="D668" s="20">
        <v>3</v>
      </c>
      <c r="E668" s="20">
        <v>12</v>
      </c>
      <c r="F668" s="16">
        <v>2475</v>
      </c>
      <c r="G668" s="20">
        <v>1485</v>
      </c>
      <c r="H668" s="12">
        <v>45870</v>
      </c>
    </row>
    <row r="669" spans="1:8" x14ac:dyDescent="0.25">
      <c r="A669" s="10" t="s">
        <v>44</v>
      </c>
      <c r="B669" s="10" t="s">
        <v>10</v>
      </c>
      <c r="C669" s="11" t="s">
        <v>12</v>
      </c>
      <c r="D669" s="20">
        <v>10</v>
      </c>
      <c r="E669" s="20">
        <v>15</v>
      </c>
      <c r="F669" s="16">
        <v>2559</v>
      </c>
      <c r="G669" s="20">
        <v>1919.25</v>
      </c>
      <c r="H669" s="12">
        <v>45870</v>
      </c>
    </row>
    <row r="670" spans="1:8" x14ac:dyDescent="0.25">
      <c r="A670" s="10" t="s">
        <v>15</v>
      </c>
      <c r="B670" s="10" t="s">
        <v>10</v>
      </c>
      <c r="C670" s="11" t="s">
        <v>12</v>
      </c>
      <c r="D670" s="20">
        <v>260</v>
      </c>
      <c r="E670" s="20">
        <v>350</v>
      </c>
      <c r="F670" s="16">
        <v>552</v>
      </c>
      <c r="G670" s="20">
        <v>9660</v>
      </c>
      <c r="H670" s="12">
        <v>45870</v>
      </c>
    </row>
    <row r="671" spans="1:8" x14ac:dyDescent="0.25">
      <c r="A671" s="10" t="s">
        <v>17</v>
      </c>
      <c r="B671" s="10" t="s">
        <v>10</v>
      </c>
      <c r="C671" s="11" t="s">
        <v>13</v>
      </c>
      <c r="D671" s="20">
        <v>3</v>
      </c>
      <c r="E671" s="20">
        <v>12</v>
      </c>
      <c r="F671" s="16">
        <v>1884</v>
      </c>
      <c r="G671" s="20">
        <v>1130.4000000000001</v>
      </c>
      <c r="H671" s="12">
        <v>45870</v>
      </c>
    </row>
    <row r="672" spans="1:8" x14ac:dyDescent="0.25">
      <c r="A672" s="10" t="s">
        <v>15</v>
      </c>
      <c r="B672" s="10" t="s">
        <v>10</v>
      </c>
      <c r="C672" s="11" t="s">
        <v>13</v>
      </c>
      <c r="D672" s="20">
        <v>10</v>
      </c>
      <c r="E672" s="20">
        <v>20</v>
      </c>
      <c r="F672" s="16">
        <v>2394</v>
      </c>
      <c r="G672" s="20">
        <v>2394</v>
      </c>
      <c r="H672" s="12">
        <v>45870</v>
      </c>
    </row>
    <row r="673" spans="1:8" x14ac:dyDescent="0.25">
      <c r="A673" s="10" t="s">
        <v>11</v>
      </c>
      <c r="B673" s="10" t="s">
        <v>6</v>
      </c>
      <c r="C673" s="11" t="s">
        <v>13</v>
      </c>
      <c r="D673" s="20">
        <v>120</v>
      </c>
      <c r="E673" s="20">
        <v>125</v>
      </c>
      <c r="F673" s="16">
        <v>2767</v>
      </c>
      <c r="G673" s="20">
        <v>17293.75</v>
      </c>
      <c r="H673" s="12">
        <v>45870</v>
      </c>
    </row>
    <row r="674" spans="1:8" x14ac:dyDescent="0.25">
      <c r="A674" s="10" t="s">
        <v>11</v>
      </c>
      <c r="B674" s="10" t="s">
        <v>4</v>
      </c>
      <c r="C674" s="11" t="s">
        <v>13</v>
      </c>
      <c r="D674" s="20">
        <v>120</v>
      </c>
      <c r="E674" s="20">
        <v>125</v>
      </c>
      <c r="F674" s="16">
        <v>1540</v>
      </c>
      <c r="G674" s="20">
        <v>9625</v>
      </c>
      <c r="H674" s="12">
        <v>45870</v>
      </c>
    </row>
    <row r="675" spans="1:8" x14ac:dyDescent="0.25">
      <c r="A675" s="10" t="s">
        <v>11</v>
      </c>
      <c r="B675" s="10" t="s">
        <v>7</v>
      </c>
      <c r="C675" s="11" t="s">
        <v>13</v>
      </c>
      <c r="D675" s="20">
        <v>120</v>
      </c>
      <c r="E675" s="20">
        <v>125</v>
      </c>
      <c r="F675" s="16">
        <v>1174</v>
      </c>
      <c r="G675" s="20">
        <v>7337.5</v>
      </c>
      <c r="H675" s="12">
        <v>45870</v>
      </c>
    </row>
    <row r="676" spans="1:8" x14ac:dyDescent="0.25">
      <c r="A676" s="10" t="s">
        <v>15</v>
      </c>
      <c r="B676" s="10" t="s">
        <v>9</v>
      </c>
      <c r="C676" s="11" t="s">
        <v>5</v>
      </c>
      <c r="D676" s="20">
        <v>5</v>
      </c>
      <c r="E676" s="20">
        <v>7</v>
      </c>
      <c r="F676" s="16">
        <v>678</v>
      </c>
      <c r="G676" s="20">
        <v>237.3</v>
      </c>
      <c r="H676" s="12">
        <v>45870</v>
      </c>
    </row>
    <row r="677" spans="1:8" x14ac:dyDescent="0.25">
      <c r="A677" s="10" t="s">
        <v>15</v>
      </c>
      <c r="B677" s="10" t="s">
        <v>6</v>
      </c>
      <c r="C677" s="11" t="s">
        <v>5</v>
      </c>
      <c r="D677" s="20">
        <v>10</v>
      </c>
      <c r="E677" s="20">
        <v>20</v>
      </c>
      <c r="F677" s="16">
        <v>1001</v>
      </c>
      <c r="G677" s="20">
        <v>1001</v>
      </c>
      <c r="H677" s="12">
        <v>45870</v>
      </c>
    </row>
    <row r="678" spans="1:8" x14ac:dyDescent="0.25">
      <c r="A678" s="10" t="s">
        <v>44</v>
      </c>
      <c r="B678" s="10" t="s">
        <v>9</v>
      </c>
      <c r="C678" s="11" t="s">
        <v>5</v>
      </c>
      <c r="D678" s="20">
        <v>10</v>
      </c>
      <c r="E678" s="20">
        <v>15</v>
      </c>
      <c r="F678" s="16">
        <v>2198</v>
      </c>
      <c r="G678" s="20">
        <v>1648.5</v>
      </c>
      <c r="H678" s="12">
        <v>45870</v>
      </c>
    </row>
    <row r="679" spans="1:8" x14ac:dyDescent="0.25">
      <c r="A679" s="10" t="s">
        <v>15</v>
      </c>
      <c r="B679" s="10" t="s">
        <v>9</v>
      </c>
      <c r="C679" s="11" t="s">
        <v>5</v>
      </c>
      <c r="D679" s="20">
        <v>10</v>
      </c>
      <c r="E679" s="20">
        <v>20</v>
      </c>
      <c r="F679" s="16">
        <v>2832</v>
      </c>
      <c r="G679" s="20">
        <v>2832</v>
      </c>
      <c r="H679" s="12">
        <v>45870</v>
      </c>
    </row>
    <row r="680" spans="1:8" x14ac:dyDescent="0.25">
      <c r="A680" s="10" t="s">
        <v>15</v>
      </c>
      <c r="B680" s="10" t="s">
        <v>4</v>
      </c>
      <c r="C680" s="11" t="s">
        <v>5</v>
      </c>
      <c r="D680" s="20">
        <v>10</v>
      </c>
      <c r="E680" s="20">
        <v>20</v>
      </c>
      <c r="F680" s="16">
        <v>609</v>
      </c>
      <c r="G680" s="20">
        <v>609</v>
      </c>
      <c r="H680" s="12">
        <v>45870</v>
      </c>
    </row>
    <row r="681" spans="1:8" x14ac:dyDescent="0.25">
      <c r="A681" s="10" t="s">
        <v>15</v>
      </c>
      <c r="B681" s="10" t="s">
        <v>7</v>
      </c>
      <c r="C681" s="11" t="s">
        <v>5</v>
      </c>
      <c r="D681" s="20">
        <v>10</v>
      </c>
      <c r="E681" s="20">
        <v>20</v>
      </c>
      <c r="F681" s="16">
        <v>1579</v>
      </c>
      <c r="G681" s="20">
        <v>1579</v>
      </c>
      <c r="H681" s="12">
        <v>45870</v>
      </c>
    </row>
    <row r="682" spans="1:8" x14ac:dyDescent="0.25">
      <c r="A682" s="10" t="s">
        <v>11</v>
      </c>
      <c r="B682" s="10" t="s">
        <v>10</v>
      </c>
      <c r="C682" s="11" t="s">
        <v>5</v>
      </c>
      <c r="D682" s="20">
        <v>120</v>
      </c>
      <c r="E682" s="20">
        <v>125</v>
      </c>
      <c r="F682" s="16">
        <v>923</v>
      </c>
      <c r="G682" s="20">
        <v>5768.75</v>
      </c>
      <c r="H682" s="12">
        <v>45870</v>
      </c>
    </row>
    <row r="683" spans="1:8" x14ac:dyDescent="0.25">
      <c r="A683" s="10" t="s">
        <v>11</v>
      </c>
      <c r="B683" s="10" t="s">
        <v>9</v>
      </c>
      <c r="C683" s="11" t="s">
        <v>5</v>
      </c>
      <c r="D683" s="20">
        <v>120</v>
      </c>
      <c r="E683" s="20">
        <v>125</v>
      </c>
      <c r="F683" s="16">
        <v>2821</v>
      </c>
      <c r="G683" s="20">
        <v>0</v>
      </c>
      <c r="H683" s="12">
        <v>45870</v>
      </c>
    </row>
    <row r="684" spans="1:8" x14ac:dyDescent="0.25">
      <c r="A684" s="10" t="s">
        <v>15</v>
      </c>
      <c r="B684" s="10" t="s">
        <v>10</v>
      </c>
      <c r="C684" s="11" t="s">
        <v>14</v>
      </c>
      <c r="D684" s="20">
        <v>5</v>
      </c>
      <c r="E684" s="20">
        <v>7</v>
      </c>
      <c r="F684" s="16">
        <v>1830</v>
      </c>
      <c r="G684" s="20">
        <v>64.05</v>
      </c>
      <c r="H684" s="12">
        <v>45870</v>
      </c>
    </row>
    <row r="685" spans="1:8" x14ac:dyDescent="0.25">
      <c r="A685" s="10" t="s">
        <v>28</v>
      </c>
      <c r="B685" s="10" t="s">
        <v>10</v>
      </c>
      <c r="C685" s="11" t="s">
        <v>14</v>
      </c>
      <c r="D685" s="20">
        <v>250</v>
      </c>
      <c r="E685" s="20">
        <v>300</v>
      </c>
      <c r="F685" s="16">
        <v>1859</v>
      </c>
      <c r="G685" s="20">
        <v>27885</v>
      </c>
      <c r="H685" s="12">
        <v>45870</v>
      </c>
    </row>
    <row r="686" spans="1:8" x14ac:dyDescent="0.25">
      <c r="A686" s="10" t="s">
        <v>28</v>
      </c>
      <c r="B686" s="10" t="s">
        <v>4</v>
      </c>
      <c r="C686" s="11" t="s">
        <v>14</v>
      </c>
      <c r="D686" s="20">
        <v>250</v>
      </c>
      <c r="E686" s="20">
        <v>300</v>
      </c>
      <c r="F686" s="16">
        <v>958</v>
      </c>
      <c r="G686" s="20">
        <v>0</v>
      </c>
      <c r="H686" s="12">
        <v>45870</v>
      </c>
    </row>
    <row r="687" spans="1:8" x14ac:dyDescent="0.25">
      <c r="A687" s="10" t="s">
        <v>28</v>
      </c>
      <c r="B687" s="10" t="s">
        <v>7</v>
      </c>
      <c r="C687" s="11" t="s">
        <v>14</v>
      </c>
      <c r="D687" s="20">
        <v>250</v>
      </c>
      <c r="E687" s="20">
        <v>300</v>
      </c>
      <c r="F687" s="16">
        <v>1562</v>
      </c>
      <c r="G687" s="20">
        <v>23430</v>
      </c>
      <c r="H687" s="12">
        <v>45870</v>
      </c>
    </row>
    <row r="688" spans="1:8" x14ac:dyDescent="0.25">
      <c r="A688" s="10" t="s">
        <v>15</v>
      </c>
      <c r="B688" s="10" t="s">
        <v>6</v>
      </c>
      <c r="C688" s="11" t="s">
        <v>8</v>
      </c>
      <c r="D688" s="20">
        <v>5</v>
      </c>
      <c r="E688" s="20">
        <v>7</v>
      </c>
      <c r="F688" s="16">
        <v>200</v>
      </c>
      <c r="G688" s="20">
        <v>70</v>
      </c>
      <c r="H688" s="12">
        <v>45870</v>
      </c>
    </row>
    <row r="689" spans="1:8" x14ac:dyDescent="0.25">
      <c r="A689" s="10" t="s">
        <v>15</v>
      </c>
      <c r="B689" s="10" t="s">
        <v>4</v>
      </c>
      <c r="C689" s="11" t="s">
        <v>8</v>
      </c>
      <c r="D689" s="20">
        <v>5</v>
      </c>
      <c r="E689" s="20">
        <v>7</v>
      </c>
      <c r="F689" s="16">
        <v>883</v>
      </c>
      <c r="G689" s="20">
        <v>0</v>
      </c>
      <c r="H689" s="12">
        <v>45870</v>
      </c>
    </row>
    <row r="690" spans="1:8" x14ac:dyDescent="0.25">
      <c r="A690" s="10" t="s">
        <v>15</v>
      </c>
      <c r="B690" s="10" t="s">
        <v>7</v>
      </c>
      <c r="C690" s="11" t="s">
        <v>8</v>
      </c>
      <c r="D690" s="20">
        <v>5</v>
      </c>
      <c r="E690" s="20">
        <v>7</v>
      </c>
      <c r="F690" s="16">
        <v>696</v>
      </c>
      <c r="G690" s="20">
        <v>243.60000000000002</v>
      </c>
      <c r="H690" s="12">
        <v>45870</v>
      </c>
    </row>
    <row r="691" spans="1:8" x14ac:dyDescent="0.25">
      <c r="A691" s="10" t="s">
        <v>44</v>
      </c>
      <c r="B691" s="10" t="s">
        <v>6</v>
      </c>
      <c r="C691" s="11" t="s">
        <v>8</v>
      </c>
      <c r="D691" s="20">
        <v>10</v>
      </c>
      <c r="E691" s="20">
        <v>15</v>
      </c>
      <c r="F691" s="16">
        <v>1743</v>
      </c>
      <c r="G691" s="20">
        <v>1307.25</v>
      </c>
      <c r="H691" s="12">
        <v>45870</v>
      </c>
    </row>
    <row r="692" spans="1:8" x14ac:dyDescent="0.25">
      <c r="A692" s="10" t="s">
        <v>44</v>
      </c>
      <c r="B692" s="10" t="s">
        <v>4</v>
      </c>
      <c r="C692" s="11" t="s">
        <v>8</v>
      </c>
      <c r="D692" s="20">
        <v>10</v>
      </c>
      <c r="E692" s="20">
        <v>15</v>
      </c>
      <c r="F692" s="16">
        <v>1984</v>
      </c>
      <c r="G692" s="20">
        <v>1488</v>
      </c>
      <c r="H692" s="12">
        <v>45870</v>
      </c>
    </row>
    <row r="693" spans="1:8" x14ac:dyDescent="0.25">
      <c r="A693" s="10" t="s">
        <v>44</v>
      </c>
      <c r="B693" s="10" t="s">
        <v>7</v>
      </c>
      <c r="C693" s="11" t="s">
        <v>8</v>
      </c>
      <c r="D693" s="20">
        <v>10</v>
      </c>
      <c r="E693" s="20">
        <v>15</v>
      </c>
      <c r="F693" s="16">
        <v>2101</v>
      </c>
      <c r="G693" s="20">
        <v>1575.75</v>
      </c>
      <c r="H693" s="12">
        <v>45870</v>
      </c>
    </row>
    <row r="694" spans="1:8" x14ac:dyDescent="0.25">
      <c r="A694" s="10" t="s">
        <v>28</v>
      </c>
      <c r="B694" s="10" t="s">
        <v>10</v>
      </c>
      <c r="C694" s="11" t="s">
        <v>16</v>
      </c>
      <c r="D694" s="20">
        <v>250</v>
      </c>
      <c r="E694" s="20">
        <v>300</v>
      </c>
      <c r="F694" s="16">
        <v>1874</v>
      </c>
      <c r="G694" s="20">
        <v>28110</v>
      </c>
      <c r="H694" s="12">
        <v>45870</v>
      </c>
    </row>
    <row r="695" spans="1:8" x14ac:dyDescent="0.25">
      <c r="A695" s="10" t="s">
        <v>28</v>
      </c>
      <c r="B695" s="10" t="s">
        <v>9</v>
      </c>
      <c r="C695" s="11" t="s">
        <v>16</v>
      </c>
      <c r="D695" s="20">
        <v>250</v>
      </c>
      <c r="E695" s="20">
        <v>300</v>
      </c>
      <c r="F695" s="16">
        <v>2541</v>
      </c>
      <c r="G695" s="20">
        <v>38115</v>
      </c>
      <c r="H695" s="12">
        <v>45870</v>
      </c>
    </row>
    <row r="696" spans="1:8" x14ac:dyDescent="0.25">
      <c r="A696" s="10" t="s">
        <v>15</v>
      </c>
      <c r="B696" s="10" t="s">
        <v>6</v>
      </c>
      <c r="C696" s="11" t="s">
        <v>16</v>
      </c>
      <c r="D696" s="20">
        <v>260</v>
      </c>
      <c r="E696" s="20">
        <v>350</v>
      </c>
      <c r="F696" s="16">
        <v>422</v>
      </c>
      <c r="G696" s="20">
        <v>0</v>
      </c>
      <c r="H696" s="12">
        <v>45870</v>
      </c>
    </row>
    <row r="697" spans="1:8" x14ac:dyDescent="0.25">
      <c r="A697" s="10" t="s">
        <v>15</v>
      </c>
      <c r="B697" s="10" t="s">
        <v>9</v>
      </c>
      <c r="C697" s="11" t="s">
        <v>16</v>
      </c>
      <c r="D697" s="20">
        <v>260</v>
      </c>
      <c r="E697" s="20">
        <v>350</v>
      </c>
      <c r="F697" s="16">
        <v>2807</v>
      </c>
      <c r="G697" s="20">
        <v>49122.5</v>
      </c>
      <c r="H697" s="12">
        <v>45870</v>
      </c>
    </row>
    <row r="698" spans="1:8" x14ac:dyDescent="0.25">
      <c r="A698" s="10" t="s">
        <v>28</v>
      </c>
      <c r="B698" s="10" t="s">
        <v>4</v>
      </c>
      <c r="C698" s="11" t="s">
        <v>16</v>
      </c>
      <c r="D698" s="20">
        <v>260</v>
      </c>
      <c r="E698" s="20">
        <v>350</v>
      </c>
      <c r="F698" s="16">
        <v>1642</v>
      </c>
      <c r="G698" s="20">
        <v>0</v>
      </c>
      <c r="H698" s="12">
        <v>45870</v>
      </c>
    </row>
    <row r="699" spans="1:8" x14ac:dyDescent="0.25">
      <c r="A699" s="10" t="s">
        <v>17</v>
      </c>
      <c r="B699" s="10" t="s">
        <v>7</v>
      </c>
      <c r="C699" s="11" t="s">
        <v>16</v>
      </c>
      <c r="D699" s="20">
        <v>260</v>
      </c>
      <c r="E699" s="20">
        <v>350</v>
      </c>
      <c r="F699" s="16">
        <v>381</v>
      </c>
      <c r="G699" s="20">
        <v>6667.5</v>
      </c>
      <c r="H699" s="12">
        <v>45870</v>
      </c>
    </row>
    <row r="700" spans="1:8" x14ac:dyDescent="0.25">
      <c r="A700" s="10" t="s">
        <v>44</v>
      </c>
      <c r="B700" s="10" t="s">
        <v>10</v>
      </c>
      <c r="C700" s="11" t="s">
        <v>12</v>
      </c>
      <c r="D700" s="20">
        <v>10</v>
      </c>
      <c r="E700" s="20">
        <v>15</v>
      </c>
      <c r="F700" s="16">
        <v>218</v>
      </c>
      <c r="G700" s="20">
        <v>65.400000000000006</v>
      </c>
      <c r="H700" s="12">
        <v>45901</v>
      </c>
    </row>
    <row r="701" spans="1:8" x14ac:dyDescent="0.25">
      <c r="A701" s="10" t="s">
        <v>15</v>
      </c>
      <c r="B701" s="10" t="s">
        <v>10</v>
      </c>
      <c r="C701" s="11" t="s">
        <v>12</v>
      </c>
      <c r="D701" s="20">
        <v>260</v>
      </c>
      <c r="E701" s="20">
        <v>350</v>
      </c>
      <c r="F701" s="16">
        <v>707</v>
      </c>
      <c r="G701" s="20">
        <v>12372.5</v>
      </c>
      <c r="H701" s="12">
        <v>45901</v>
      </c>
    </row>
    <row r="702" spans="1:8" x14ac:dyDescent="0.25">
      <c r="A702" s="10" t="s">
        <v>15</v>
      </c>
      <c r="B702" s="10" t="s">
        <v>6</v>
      </c>
      <c r="C702" s="11" t="s">
        <v>12</v>
      </c>
      <c r="D702" s="20">
        <v>260</v>
      </c>
      <c r="E702" s="20">
        <v>350</v>
      </c>
      <c r="F702" s="16">
        <v>200</v>
      </c>
      <c r="G702" s="20">
        <v>3500</v>
      </c>
      <c r="H702" s="12">
        <v>45901</v>
      </c>
    </row>
    <row r="703" spans="1:8" x14ac:dyDescent="0.25">
      <c r="A703" s="10" t="s">
        <v>15</v>
      </c>
      <c r="B703" s="10" t="s">
        <v>9</v>
      </c>
      <c r="C703" s="11" t="s">
        <v>12</v>
      </c>
      <c r="D703" s="20">
        <v>260</v>
      </c>
      <c r="E703" s="20">
        <v>350</v>
      </c>
      <c r="F703" s="16">
        <v>2071</v>
      </c>
      <c r="G703" s="20">
        <v>36242.5</v>
      </c>
      <c r="H703" s="12">
        <v>45901</v>
      </c>
    </row>
    <row r="704" spans="1:8" x14ac:dyDescent="0.25">
      <c r="A704" s="10" t="s">
        <v>28</v>
      </c>
      <c r="B704" s="10" t="s">
        <v>4</v>
      </c>
      <c r="C704" s="11" t="s">
        <v>12</v>
      </c>
      <c r="D704" s="20">
        <v>260</v>
      </c>
      <c r="E704" s="20">
        <v>350</v>
      </c>
      <c r="F704" s="16">
        <v>1679</v>
      </c>
      <c r="G704" s="20">
        <v>29382.5</v>
      </c>
      <c r="H704" s="12">
        <v>45901</v>
      </c>
    </row>
    <row r="705" spans="1:8" x14ac:dyDescent="0.25">
      <c r="A705" s="10" t="s">
        <v>15</v>
      </c>
      <c r="B705" s="10" t="s">
        <v>7</v>
      </c>
      <c r="C705" s="11" t="s">
        <v>12</v>
      </c>
      <c r="D705" s="20">
        <v>260</v>
      </c>
      <c r="E705" s="20">
        <v>350</v>
      </c>
      <c r="F705" s="16">
        <v>300</v>
      </c>
      <c r="G705" s="20">
        <v>5250</v>
      </c>
      <c r="H705" s="12">
        <v>45901</v>
      </c>
    </row>
    <row r="706" spans="1:8" x14ac:dyDescent="0.25">
      <c r="A706" s="10" t="s">
        <v>17</v>
      </c>
      <c r="B706" s="10" t="s">
        <v>10</v>
      </c>
      <c r="C706" s="11" t="s">
        <v>13</v>
      </c>
      <c r="D706" s="20">
        <v>3</v>
      </c>
      <c r="E706" s="20">
        <v>12</v>
      </c>
      <c r="F706" s="16">
        <v>1445</v>
      </c>
      <c r="G706" s="20">
        <v>86.7</v>
      </c>
      <c r="H706" s="12">
        <v>45901</v>
      </c>
    </row>
    <row r="707" spans="1:8" x14ac:dyDescent="0.25">
      <c r="A707" s="10" t="s">
        <v>17</v>
      </c>
      <c r="B707" s="10" t="s">
        <v>6</v>
      </c>
      <c r="C707" s="11" t="s">
        <v>13</v>
      </c>
      <c r="D707" s="20">
        <v>3</v>
      </c>
      <c r="E707" s="20">
        <v>12</v>
      </c>
      <c r="F707" s="16">
        <v>1580</v>
      </c>
      <c r="G707" s="20">
        <v>948</v>
      </c>
      <c r="H707" s="12">
        <v>45901</v>
      </c>
    </row>
    <row r="708" spans="1:8" x14ac:dyDescent="0.25">
      <c r="A708" s="10" t="s">
        <v>17</v>
      </c>
      <c r="B708" s="10" t="s">
        <v>9</v>
      </c>
      <c r="C708" s="11" t="s">
        <v>13</v>
      </c>
      <c r="D708" s="20">
        <v>3</v>
      </c>
      <c r="E708" s="20">
        <v>12</v>
      </c>
      <c r="F708" s="16">
        <v>1947</v>
      </c>
      <c r="G708" s="20">
        <v>1168.2</v>
      </c>
      <c r="H708" s="12">
        <v>45901</v>
      </c>
    </row>
    <row r="709" spans="1:8" x14ac:dyDescent="0.25">
      <c r="A709" s="10" t="s">
        <v>17</v>
      </c>
      <c r="B709" s="10" t="s">
        <v>4</v>
      </c>
      <c r="C709" s="11" t="s">
        <v>13</v>
      </c>
      <c r="D709" s="20">
        <v>3</v>
      </c>
      <c r="E709" s="20">
        <v>12</v>
      </c>
      <c r="F709" s="16">
        <v>562</v>
      </c>
      <c r="G709" s="20">
        <v>337.20000000000005</v>
      </c>
      <c r="H709" s="12">
        <v>45901</v>
      </c>
    </row>
    <row r="710" spans="1:8" x14ac:dyDescent="0.25">
      <c r="A710" s="10" t="s">
        <v>17</v>
      </c>
      <c r="B710" s="10" t="s">
        <v>7</v>
      </c>
      <c r="C710" s="11" t="s">
        <v>13</v>
      </c>
      <c r="D710" s="20">
        <v>3</v>
      </c>
      <c r="E710" s="20">
        <v>12</v>
      </c>
      <c r="F710" s="16">
        <v>2671</v>
      </c>
      <c r="G710" s="20">
        <v>1602.6000000000001</v>
      </c>
      <c r="H710" s="12">
        <v>45901</v>
      </c>
    </row>
    <row r="711" spans="1:8" x14ac:dyDescent="0.25">
      <c r="A711" s="10" t="s">
        <v>15</v>
      </c>
      <c r="B711" s="10" t="s">
        <v>10</v>
      </c>
      <c r="C711" s="11" t="s">
        <v>13</v>
      </c>
      <c r="D711" s="20">
        <v>10</v>
      </c>
      <c r="E711" s="20">
        <v>20</v>
      </c>
      <c r="F711" s="16">
        <v>2074</v>
      </c>
      <c r="G711" s="20">
        <v>2074</v>
      </c>
      <c r="H711" s="12">
        <v>45901</v>
      </c>
    </row>
    <row r="712" spans="1:8" x14ac:dyDescent="0.25">
      <c r="A712" s="10" t="s">
        <v>44</v>
      </c>
      <c r="B712" s="10" t="s">
        <v>9</v>
      </c>
      <c r="C712" s="11" t="s">
        <v>5</v>
      </c>
      <c r="D712" s="20">
        <v>10</v>
      </c>
      <c r="E712" s="20">
        <v>15</v>
      </c>
      <c r="F712" s="16">
        <v>1767</v>
      </c>
      <c r="G712" s="20">
        <v>1325.25</v>
      </c>
      <c r="H712" s="12">
        <v>45901</v>
      </c>
    </row>
    <row r="713" spans="1:8" x14ac:dyDescent="0.25">
      <c r="A713" s="10" t="s">
        <v>15</v>
      </c>
      <c r="B713" s="10" t="s">
        <v>9</v>
      </c>
      <c r="C713" s="11" t="s">
        <v>5</v>
      </c>
      <c r="D713" s="20">
        <v>10</v>
      </c>
      <c r="E713" s="20">
        <v>20</v>
      </c>
      <c r="F713" s="16">
        <v>1056</v>
      </c>
      <c r="G713" s="20">
        <v>1056</v>
      </c>
      <c r="H713" s="12">
        <v>45901</v>
      </c>
    </row>
    <row r="714" spans="1:8" x14ac:dyDescent="0.25">
      <c r="A714" s="10" t="s">
        <v>11</v>
      </c>
      <c r="B714" s="10" t="s">
        <v>10</v>
      </c>
      <c r="C714" s="11" t="s">
        <v>5</v>
      </c>
      <c r="D714" s="20">
        <v>120</v>
      </c>
      <c r="E714" s="20">
        <v>125</v>
      </c>
      <c r="F714" s="16">
        <v>567</v>
      </c>
      <c r="G714" s="20">
        <v>3543.75</v>
      </c>
      <c r="H714" s="12">
        <v>45901</v>
      </c>
    </row>
    <row r="715" spans="1:8" x14ac:dyDescent="0.25">
      <c r="A715" s="10" t="s">
        <v>11</v>
      </c>
      <c r="B715" s="10" t="s">
        <v>6</v>
      </c>
      <c r="C715" s="11" t="s">
        <v>5</v>
      </c>
      <c r="D715" s="20">
        <v>120</v>
      </c>
      <c r="E715" s="20">
        <v>125</v>
      </c>
      <c r="F715" s="16">
        <v>2087</v>
      </c>
      <c r="G715" s="20">
        <v>13043.75</v>
      </c>
      <c r="H715" s="12">
        <v>45901</v>
      </c>
    </row>
    <row r="716" spans="1:8" x14ac:dyDescent="0.25">
      <c r="A716" s="10" t="s">
        <v>11</v>
      </c>
      <c r="B716" s="10" t="s">
        <v>9</v>
      </c>
      <c r="C716" s="11" t="s">
        <v>5</v>
      </c>
      <c r="D716" s="20">
        <v>120</v>
      </c>
      <c r="E716" s="20">
        <v>125</v>
      </c>
      <c r="F716" s="16">
        <v>1596</v>
      </c>
      <c r="G716" s="20">
        <v>9975</v>
      </c>
      <c r="H716" s="12">
        <v>45901</v>
      </c>
    </row>
    <row r="717" spans="1:8" x14ac:dyDescent="0.25">
      <c r="A717" s="10" t="s">
        <v>11</v>
      </c>
      <c r="B717" s="10" t="s">
        <v>4</v>
      </c>
      <c r="C717" s="11" t="s">
        <v>5</v>
      </c>
      <c r="D717" s="20">
        <v>120</v>
      </c>
      <c r="E717" s="20">
        <v>125</v>
      </c>
      <c r="F717" s="16">
        <v>2110</v>
      </c>
      <c r="G717" s="20">
        <v>13187.5</v>
      </c>
      <c r="H717" s="12">
        <v>45901</v>
      </c>
    </row>
    <row r="718" spans="1:8" x14ac:dyDescent="0.25">
      <c r="A718" s="10" t="s">
        <v>11</v>
      </c>
      <c r="B718" s="10" t="s">
        <v>7</v>
      </c>
      <c r="C718" s="11" t="s">
        <v>5</v>
      </c>
      <c r="D718" s="20">
        <v>120</v>
      </c>
      <c r="E718" s="20">
        <v>125</v>
      </c>
      <c r="F718" s="16">
        <v>663</v>
      </c>
      <c r="G718" s="20">
        <v>0</v>
      </c>
      <c r="H718" s="12">
        <v>45901</v>
      </c>
    </row>
    <row r="719" spans="1:8" x14ac:dyDescent="0.25">
      <c r="A719" s="10" t="s">
        <v>15</v>
      </c>
      <c r="B719" s="10" t="s">
        <v>10</v>
      </c>
      <c r="C719" s="11" t="s">
        <v>14</v>
      </c>
      <c r="D719" s="20">
        <v>5</v>
      </c>
      <c r="E719" s="20">
        <v>7</v>
      </c>
      <c r="F719" s="16">
        <v>388</v>
      </c>
      <c r="G719" s="20">
        <v>135.80000000000001</v>
      </c>
      <c r="H719" s="12">
        <v>45901</v>
      </c>
    </row>
    <row r="720" spans="1:8" x14ac:dyDescent="0.25">
      <c r="A720" s="10" t="s">
        <v>15</v>
      </c>
      <c r="B720" s="10" t="s">
        <v>6</v>
      </c>
      <c r="C720" s="11" t="s">
        <v>14</v>
      </c>
      <c r="D720" s="20">
        <v>5</v>
      </c>
      <c r="E720" s="20">
        <v>7</v>
      </c>
      <c r="F720" s="16">
        <v>300</v>
      </c>
      <c r="G720" s="20">
        <v>0</v>
      </c>
      <c r="H720" s="12">
        <v>45901</v>
      </c>
    </row>
    <row r="721" spans="1:8" x14ac:dyDescent="0.25">
      <c r="A721" s="10" t="s">
        <v>15</v>
      </c>
      <c r="B721" s="10" t="s">
        <v>9</v>
      </c>
      <c r="C721" s="11" t="s">
        <v>14</v>
      </c>
      <c r="D721" s="20">
        <v>5</v>
      </c>
      <c r="E721" s="20">
        <v>7</v>
      </c>
      <c r="F721" s="16">
        <v>2328</v>
      </c>
      <c r="G721" s="20">
        <v>814.80000000000007</v>
      </c>
      <c r="H721" s="12">
        <v>45901</v>
      </c>
    </row>
    <row r="722" spans="1:8" x14ac:dyDescent="0.25">
      <c r="A722" s="10" t="s">
        <v>28</v>
      </c>
      <c r="B722" s="10" t="s">
        <v>4</v>
      </c>
      <c r="C722" s="11" t="s">
        <v>14</v>
      </c>
      <c r="D722" s="20">
        <v>5</v>
      </c>
      <c r="E722" s="20">
        <v>7</v>
      </c>
      <c r="F722" s="16">
        <v>2420</v>
      </c>
      <c r="G722" s="20">
        <v>0</v>
      </c>
      <c r="H722" s="12">
        <v>45901</v>
      </c>
    </row>
    <row r="723" spans="1:8" x14ac:dyDescent="0.25">
      <c r="A723" s="10" t="s">
        <v>17</v>
      </c>
      <c r="B723" s="10" t="s">
        <v>7</v>
      </c>
      <c r="C723" s="11" t="s">
        <v>14</v>
      </c>
      <c r="D723" s="20">
        <v>5</v>
      </c>
      <c r="E723" s="20">
        <v>7</v>
      </c>
      <c r="F723" s="16">
        <v>544</v>
      </c>
      <c r="G723" s="20">
        <v>57.12</v>
      </c>
      <c r="H723" s="12">
        <v>45901</v>
      </c>
    </row>
    <row r="724" spans="1:8" x14ac:dyDescent="0.25">
      <c r="A724" s="10" t="s">
        <v>44</v>
      </c>
      <c r="B724" s="10" t="s">
        <v>6</v>
      </c>
      <c r="C724" s="11" t="s">
        <v>8</v>
      </c>
      <c r="D724" s="20">
        <v>10</v>
      </c>
      <c r="E724" s="20">
        <v>15</v>
      </c>
      <c r="F724" s="16">
        <v>747</v>
      </c>
      <c r="G724" s="20">
        <v>56.024999999999999</v>
      </c>
      <c r="H724" s="12">
        <v>45901</v>
      </c>
    </row>
    <row r="725" spans="1:8" x14ac:dyDescent="0.25">
      <c r="A725" s="10" t="s">
        <v>15</v>
      </c>
      <c r="B725" s="10" t="s">
        <v>6</v>
      </c>
      <c r="C725" s="11" t="s">
        <v>8</v>
      </c>
      <c r="D725" s="20">
        <v>10</v>
      </c>
      <c r="E725" s="20">
        <v>20</v>
      </c>
      <c r="F725" s="16">
        <v>200</v>
      </c>
      <c r="G725" s="20">
        <v>200</v>
      </c>
      <c r="H725" s="12">
        <v>45901</v>
      </c>
    </row>
    <row r="726" spans="1:8" x14ac:dyDescent="0.25">
      <c r="A726" s="10" t="s">
        <v>44</v>
      </c>
      <c r="B726" s="10" t="s">
        <v>4</v>
      </c>
      <c r="C726" s="11" t="s">
        <v>8</v>
      </c>
      <c r="D726" s="20">
        <v>10</v>
      </c>
      <c r="E726" s="20">
        <v>15</v>
      </c>
      <c r="F726" s="16">
        <v>2472</v>
      </c>
      <c r="G726" s="20">
        <v>0</v>
      </c>
      <c r="H726" s="12">
        <v>45901</v>
      </c>
    </row>
    <row r="727" spans="1:8" x14ac:dyDescent="0.25">
      <c r="A727" s="10" t="s">
        <v>28</v>
      </c>
      <c r="B727" s="10" t="s">
        <v>4</v>
      </c>
      <c r="C727" s="11" t="s">
        <v>8</v>
      </c>
      <c r="D727" s="20">
        <v>10</v>
      </c>
      <c r="E727" s="20">
        <v>20</v>
      </c>
      <c r="F727" s="16">
        <v>933</v>
      </c>
      <c r="G727" s="20">
        <v>0</v>
      </c>
      <c r="H727" s="12">
        <v>45901</v>
      </c>
    </row>
    <row r="728" spans="1:8" x14ac:dyDescent="0.25">
      <c r="A728" s="10" t="s">
        <v>44</v>
      </c>
      <c r="B728" s="10" t="s">
        <v>7</v>
      </c>
      <c r="C728" s="11" t="s">
        <v>8</v>
      </c>
      <c r="D728" s="20">
        <v>10</v>
      </c>
      <c r="E728" s="20">
        <v>15</v>
      </c>
      <c r="F728" s="16">
        <v>2620</v>
      </c>
      <c r="G728" s="20">
        <v>1965</v>
      </c>
      <c r="H728" s="12">
        <v>45901</v>
      </c>
    </row>
    <row r="729" spans="1:8" x14ac:dyDescent="0.25">
      <c r="A729" s="10" t="s">
        <v>17</v>
      </c>
      <c r="B729" s="10" t="s">
        <v>7</v>
      </c>
      <c r="C729" s="11" t="s">
        <v>8</v>
      </c>
      <c r="D729" s="20">
        <v>10</v>
      </c>
      <c r="E729" s="20">
        <v>20</v>
      </c>
      <c r="F729" s="16">
        <v>1535</v>
      </c>
      <c r="G729" s="20">
        <v>1535</v>
      </c>
      <c r="H729" s="12">
        <v>45901</v>
      </c>
    </row>
    <row r="730" spans="1:8" x14ac:dyDescent="0.25">
      <c r="A730" s="10" t="s">
        <v>28</v>
      </c>
      <c r="B730" s="10" t="s">
        <v>10</v>
      </c>
      <c r="C730" s="11" t="s">
        <v>16</v>
      </c>
      <c r="D730" s="20">
        <v>250</v>
      </c>
      <c r="E730" s="20">
        <v>300</v>
      </c>
      <c r="F730" s="16">
        <v>2134</v>
      </c>
      <c r="G730" s="20">
        <v>32010</v>
      </c>
      <c r="H730" s="12">
        <v>45901</v>
      </c>
    </row>
    <row r="731" spans="1:8" x14ac:dyDescent="0.25">
      <c r="A731" s="10" t="s">
        <v>28</v>
      </c>
      <c r="B731" s="10" t="s">
        <v>6</v>
      </c>
      <c r="C731" s="11" t="s">
        <v>16</v>
      </c>
      <c r="D731" s="20">
        <v>250</v>
      </c>
      <c r="E731" s="20">
        <v>300</v>
      </c>
      <c r="F731" s="16">
        <v>986</v>
      </c>
      <c r="G731" s="20">
        <v>0</v>
      </c>
      <c r="H731" s="12">
        <v>45901</v>
      </c>
    </row>
    <row r="732" spans="1:8" x14ac:dyDescent="0.25">
      <c r="A732" s="10" t="s">
        <v>28</v>
      </c>
      <c r="B732" s="10" t="s">
        <v>9</v>
      </c>
      <c r="C732" s="11" t="s">
        <v>16</v>
      </c>
      <c r="D732" s="20">
        <v>250</v>
      </c>
      <c r="E732" s="20">
        <v>300</v>
      </c>
      <c r="F732" s="16">
        <v>1867</v>
      </c>
      <c r="G732" s="20">
        <v>28005</v>
      </c>
      <c r="H732" s="12">
        <v>45901</v>
      </c>
    </row>
    <row r="733" spans="1:8" x14ac:dyDescent="0.25">
      <c r="A733" s="10" t="s">
        <v>28</v>
      </c>
      <c r="B733" s="10" t="s">
        <v>4</v>
      </c>
      <c r="C733" s="11" t="s">
        <v>16</v>
      </c>
      <c r="D733" s="20">
        <v>250</v>
      </c>
      <c r="E733" s="20">
        <v>300</v>
      </c>
      <c r="F733" s="16">
        <v>432</v>
      </c>
      <c r="G733" s="20">
        <v>6480</v>
      </c>
      <c r="H733" s="12">
        <v>45901</v>
      </c>
    </row>
    <row r="734" spans="1:8" x14ac:dyDescent="0.25">
      <c r="A734" s="10" t="s">
        <v>28</v>
      </c>
      <c r="B734" s="10" t="s">
        <v>7</v>
      </c>
      <c r="C734" s="11" t="s">
        <v>16</v>
      </c>
      <c r="D734" s="20">
        <v>250</v>
      </c>
      <c r="E734" s="20">
        <v>300</v>
      </c>
      <c r="F734" s="16">
        <v>2151</v>
      </c>
      <c r="G734" s="20">
        <v>0</v>
      </c>
      <c r="H734" s="12">
        <v>45901</v>
      </c>
    </row>
    <row r="735" spans="1:8" x14ac:dyDescent="0.25">
      <c r="A735" s="10" t="s">
        <v>17</v>
      </c>
      <c r="B735" s="10" t="s">
        <v>6</v>
      </c>
      <c r="C735" s="11" t="s">
        <v>12</v>
      </c>
      <c r="D735" s="20">
        <v>3</v>
      </c>
      <c r="E735" s="20">
        <v>12</v>
      </c>
      <c r="F735" s="16">
        <v>472</v>
      </c>
      <c r="G735" s="20">
        <v>283.2</v>
      </c>
      <c r="H735" s="12">
        <v>45931</v>
      </c>
    </row>
    <row r="736" spans="1:8" x14ac:dyDescent="0.25">
      <c r="A736" s="10" t="s">
        <v>17</v>
      </c>
      <c r="B736" s="10" t="s">
        <v>9</v>
      </c>
      <c r="C736" s="11" t="s">
        <v>12</v>
      </c>
      <c r="D736" s="20">
        <v>3</v>
      </c>
      <c r="E736" s="20">
        <v>12</v>
      </c>
      <c r="F736" s="16">
        <v>2914</v>
      </c>
      <c r="G736" s="20">
        <v>1748.4</v>
      </c>
      <c r="H736" s="12">
        <v>45931</v>
      </c>
    </row>
    <row r="737" spans="1:8" x14ac:dyDescent="0.25">
      <c r="A737" s="10" t="s">
        <v>17</v>
      </c>
      <c r="B737" s="10" t="s">
        <v>4</v>
      </c>
      <c r="C737" s="11" t="s">
        <v>12</v>
      </c>
      <c r="D737" s="20">
        <v>3</v>
      </c>
      <c r="E737" s="20">
        <v>12</v>
      </c>
      <c r="F737" s="16">
        <v>410</v>
      </c>
      <c r="G737" s="20">
        <v>246</v>
      </c>
      <c r="H737" s="12">
        <v>45931</v>
      </c>
    </row>
    <row r="738" spans="1:8" x14ac:dyDescent="0.25">
      <c r="A738" s="10" t="s">
        <v>17</v>
      </c>
      <c r="B738" s="10" t="s">
        <v>7</v>
      </c>
      <c r="C738" s="11" t="s">
        <v>12</v>
      </c>
      <c r="D738" s="20">
        <v>3</v>
      </c>
      <c r="E738" s="20">
        <v>12</v>
      </c>
      <c r="F738" s="16">
        <v>1393</v>
      </c>
      <c r="G738" s="20">
        <v>835.80000000000007</v>
      </c>
      <c r="H738" s="12">
        <v>45931</v>
      </c>
    </row>
    <row r="739" spans="1:8" x14ac:dyDescent="0.25">
      <c r="A739" s="10" t="s">
        <v>15</v>
      </c>
      <c r="B739" s="10" t="s">
        <v>10</v>
      </c>
      <c r="C739" s="11" t="s">
        <v>12</v>
      </c>
      <c r="D739" s="20">
        <v>5</v>
      </c>
      <c r="E739" s="20">
        <v>7</v>
      </c>
      <c r="F739" s="16">
        <v>980</v>
      </c>
      <c r="G739" s="20">
        <v>343</v>
      </c>
      <c r="H739" s="12">
        <v>45931</v>
      </c>
    </row>
    <row r="740" spans="1:8" x14ac:dyDescent="0.25">
      <c r="A740" s="10" t="s">
        <v>15</v>
      </c>
      <c r="B740" s="10" t="s">
        <v>9</v>
      </c>
      <c r="C740" s="11" t="s">
        <v>12</v>
      </c>
      <c r="D740" s="20">
        <v>5</v>
      </c>
      <c r="E740" s="20">
        <v>7</v>
      </c>
      <c r="F740" s="16">
        <v>1143</v>
      </c>
      <c r="G740" s="20">
        <v>0</v>
      </c>
      <c r="H740" s="12">
        <v>45931</v>
      </c>
    </row>
    <row r="741" spans="1:8" x14ac:dyDescent="0.25">
      <c r="A741" s="10" t="s">
        <v>15</v>
      </c>
      <c r="B741" s="10" t="s">
        <v>7</v>
      </c>
      <c r="C741" s="11" t="s">
        <v>12</v>
      </c>
      <c r="D741" s="20">
        <v>5</v>
      </c>
      <c r="E741" s="20">
        <v>7</v>
      </c>
      <c r="F741" s="16">
        <v>1731</v>
      </c>
      <c r="G741" s="20">
        <v>605.85</v>
      </c>
      <c r="H741" s="12">
        <v>45931</v>
      </c>
    </row>
    <row r="742" spans="1:8" x14ac:dyDescent="0.25">
      <c r="A742" s="10" t="s">
        <v>44</v>
      </c>
      <c r="B742" s="10" t="s">
        <v>10</v>
      </c>
      <c r="C742" s="11" t="s">
        <v>12</v>
      </c>
      <c r="D742" s="20">
        <v>10</v>
      </c>
      <c r="E742" s="20">
        <v>15</v>
      </c>
      <c r="F742" s="16">
        <v>1565</v>
      </c>
      <c r="G742" s="20">
        <v>1173.75</v>
      </c>
      <c r="H742" s="12">
        <v>45931</v>
      </c>
    </row>
    <row r="743" spans="1:8" x14ac:dyDescent="0.25">
      <c r="A743" s="10" t="s">
        <v>11</v>
      </c>
      <c r="B743" s="10" t="s">
        <v>10</v>
      </c>
      <c r="C743" s="11" t="s">
        <v>12</v>
      </c>
      <c r="D743" s="20">
        <v>120</v>
      </c>
      <c r="E743" s="20">
        <v>125</v>
      </c>
      <c r="F743" s="16">
        <v>2009</v>
      </c>
      <c r="G743" s="20">
        <v>0</v>
      </c>
      <c r="H743" s="12">
        <v>45931</v>
      </c>
    </row>
    <row r="744" spans="1:8" x14ac:dyDescent="0.25">
      <c r="A744" s="10" t="s">
        <v>28</v>
      </c>
      <c r="B744" s="10" t="s">
        <v>10</v>
      </c>
      <c r="C744" s="11" t="s">
        <v>12</v>
      </c>
      <c r="D744" s="20">
        <v>250</v>
      </c>
      <c r="E744" s="20">
        <v>300</v>
      </c>
      <c r="F744" s="16">
        <v>1496</v>
      </c>
      <c r="G744" s="20">
        <v>22440</v>
      </c>
      <c r="H744" s="12">
        <v>45931</v>
      </c>
    </row>
    <row r="745" spans="1:8" x14ac:dyDescent="0.25">
      <c r="A745" s="10" t="s">
        <v>28</v>
      </c>
      <c r="B745" s="10" t="s">
        <v>10</v>
      </c>
      <c r="C745" s="11" t="s">
        <v>12</v>
      </c>
      <c r="D745" s="20">
        <v>250</v>
      </c>
      <c r="E745" s="20">
        <v>300</v>
      </c>
      <c r="F745" s="16">
        <v>2021</v>
      </c>
      <c r="G745" s="20">
        <v>30315</v>
      </c>
      <c r="H745" s="12">
        <v>45931</v>
      </c>
    </row>
    <row r="746" spans="1:8" x14ac:dyDescent="0.25">
      <c r="A746" s="10" t="s">
        <v>28</v>
      </c>
      <c r="B746" s="10" t="s">
        <v>4</v>
      </c>
      <c r="C746" s="11" t="s">
        <v>12</v>
      </c>
      <c r="D746" s="20">
        <v>250</v>
      </c>
      <c r="E746" s="20">
        <v>300</v>
      </c>
      <c r="F746" s="16">
        <v>546</v>
      </c>
      <c r="G746" s="20">
        <v>8190</v>
      </c>
      <c r="H746" s="12">
        <v>45931</v>
      </c>
    </row>
    <row r="747" spans="1:8" x14ac:dyDescent="0.25">
      <c r="A747" s="10" t="s">
        <v>15</v>
      </c>
      <c r="B747" s="10" t="s">
        <v>10</v>
      </c>
      <c r="C747" s="11" t="s">
        <v>12</v>
      </c>
      <c r="D747" s="20">
        <v>260</v>
      </c>
      <c r="E747" s="20">
        <v>350</v>
      </c>
      <c r="F747" s="16">
        <v>1269</v>
      </c>
      <c r="G747" s="20">
        <v>22207.5</v>
      </c>
      <c r="H747" s="12">
        <v>45931</v>
      </c>
    </row>
    <row r="748" spans="1:8" x14ac:dyDescent="0.25">
      <c r="A748" s="10" t="s">
        <v>17</v>
      </c>
      <c r="B748" s="10" t="s">
        <v>10</v>
      </c>
      <c r="C748" s="11" t="s">
        <v>13</v>
      </c>
      <c r="D748" s="20">
        <v>3</v>
      </c>
      <c r="E748" s="20">
        <v>12</v>
      </c>
      <c r="F748" s="16">
        <v>1295</v>
      </c>
      <c r="G748" s="20">
        <v>777</v>
      </c>
      <c r="H748" s="12">
        <v>45931</v>
      </c>
    </row>
    <row r="749" spans="1:8" x14ac:dyDescent="0.25">
      <c r="A749" s="10" t="s">
        <v>17</v>
      </c>
      <c r="B749" s="10" t="s">
        <v>10</v>
      </c>
      <c r="C749" s="11" t="s">
        <v>13</v>
      </c>
      <c r="D749" s="20">
        <v>3</v>
      </c>
      <c r="E749" s="20">
        <v>12</v>
      </c>
      <c r="F749" s="16">
        <v>1295</v>
      </c>
      <c r="G749" s="20">
        <v>777</v>
      </c>
      <c r="H749" s="12">
        <v>45931</v>
      </c>
    </row>
    <row r="750" spans="1:8" x14ac:dyDescent="0.25">
      <c r="A750" s="10" t="s">
        <v>15</v>
      </c>
      <c r="B750" s="10" t="s">
        <v>10</v>
      </c>
      <c r="C750" s="11" t="s">
        <v>13</v>
      </c>
      <c r="D750" s="20">
        <v>10</v>
      </c>
      <c r="E750" s="20">
        <v>20</v>
      </c>
      <c r="F750" s="16">
        <v>1249</v>
      </c>
      <c r="G750" s="20">
        <v>1249</v>
      </c>
      <c r="H750" s="12">
        <v>45931</v>
      </c>
    </row>
    <row r="751" spans="1:8" x14ac:dyDescent="0.25">
      <c r="A751" s="10" t="s">
        <v>11</v>
      </c>
      <c r="B751" s="10" t="s">
        <v>6</v>
      </c>
      <c r="C751" s="11" t="s">
        <v>13</v>
      </c>
      <c r="D751" s="20">
        <v>120</v>
      </c>
      <c r="E751" s="20">
        <v>125</v>
      </c>
      <c r="F751" s="16">
        <v>1085</v>
      </c>
      <c r="G751" s="20">
        <v>6781.25</v>
      </c>
      <c r="H751" s="12">
        <v>45931</v>
      </c>
    </row>
    <row r="752" spans="1:8" x14ac:dyDescent="0.25">
      <c r="A752" s="10" t="s">
        <v>11</v>
      </c>
      <c r="B752" s="10" t="s">
        <v>4</v>
      </c>
      <c r="C752" s="11" t="s">
        <v>13</v>
      </c>
      <c r="D752" s="20">
        <v>120</v>
      </c>
      <c r="E752" s="20">
        <v>125</v>
      </c>
      <c r="F752" s="16">
        <v>2156</v>
      </c>
      <c r="G752" s="20">
        <v>13475</v>
      </c>
      <c r="H752" s="12">
        <v>45931</v>
      </c>
    </row>
    <row r="753" spans="1:8" x14ac:dyDescent="0.25">
      <c r="A753" s="10" t="s">
        <v>11</v>
      </c>
      <c r="B753" s="10" t="s">
        <v>4</v>
      </c>
      <c r="C753" s="11" t="s">
        <v>13</v>
      </c>
      <c r="D753" s="20">
        <v>120</v>
      </c>
      <c r="E753" s="20">
        <v>125</v>
      </c>
      <c r="F753" s="16">
        <v>2441</v>
      </c>
      <c r="G753" s="20">
        <v>15256.25</v>
      </c>
      <c r="H753" s="12">
        <v>45931</v>
      </c>
    </row>
    <row r="754" spans="1:8" x14ac:dyDescent="0.25">
      <c r="A754" s="10" t="s">
        <v>17</v>
      </c>
      <c r="B754" s="10" t="s">
        <v>9</v>
      </c>
      <c r="C754" s="11" t="s">
        <v>13</v>
      </c>
      <c r="D754" s="20">
        <v>250</v>
      </c>
      <c r="E754" s="20">
        <v>300</v>
      </c>
      <c r="F754" s="16">
        <v>6010</v>
      </c>
      <c r="G754" s="20">
        <v>15150</v>
      </c>
      <c r="H754" s="12">
        <v>45931</v>
      </c>
    </row>
    <row r="755" spans="1:8" x14ac:dyDescent="0.25">
      <c r="A755" s="10" t="s">
        <v>28</v>
      </c>
      <c r="B755" s="10" t="s">
        <v>7</v>
      </c>
      <c r="C755" s="11" t="s">
        <v>13</v>
      </c>
      <c r="D755" s="20">
        <v>250</v>
      </c>
      <c r="E755" s="20">
        <v>300</v>
      </c>
      <c r="F755" s="16">
        <v>2181</v>
      </c>
      <c r="G755" s="20">
        <v>32715</v>
      </c>
      <c r="H755" s="12">
        <v>45931</v>
      </c>
    </row>
    <row r="756" spans="1:8" x14ac:dyDescent="0.25">
      <c r="A756" s="10" t="s">
        <v>28</v>
      </c>
      <c r="B756" s="10" t="s">
        <v>4</v>
      </c>
      <c r="C756" s="11" t="s">
        <v>13</v>
      </c>
      <c r="D756" s="20">
        <v>260</v>
      </c>
      <c r="E756" s="20">
        <v>350</v>
      </c>
      <c r="F756" s="16">
        <v>1397</v>
      </c>
      <c r="G756" s="20">
        <v>0</v>
      </c>
      <c r="H756" s="12">
        <v>45931</v>
      </c>
    </row>
    <row r="757" spans="1:8" x14ac:dyDescent="0.25">
      <c r="A757" s="10" t="s">
        <v>17</v>
      </c>
      <c r="B757" s="10" t="s">
        <v>6</v>
      </c>
      <c r="C757" s="11" t="s">
        <v>5</v>
      </c>
      <c r="D757" s="20">
        <v>3</v>
      </c>
      <c r="E757" s="20">
        <v>12</v>
      </c>
      <c r="F757" s="16">
        <v>472</v>
      </c>
      <c r="G757" s="20">
        <v>283.2</v>
      </c>
      <c r="H757" s="12">
        <v>45931</v>
      </c>
    </row>
    <row r="758" spans="1:8" x14ac:dyDescent="0.25">
      <c r="A758" s="10" t="s">
        <v>17</v>
      </c>
      <c r="B758" s="10" t="s">
        <v>4</v>
      </c>
      <c r="C758" s="11" t="s">
        <v>5</v>
      </c>
      <c r="D758" s="20">
        <v>3</v>
      </c>
      <c r="E758" s="20">
        <v>12</v>
      </c>
      <c r="F758" s="16">
        <v>410</v>
      </c>
      <c r="G758" s="20">
        <v>246</v>
      </c>
      <c r="H758" s="12">
        <v>45931</v>
      </c>
    </row>
    <row r="759" spans="1:8" x14ac:dyDescent="0.25">
      <c r="A759" s="10" t="s">
        <v>15</v>
      </c>
      <c r="B759" s="10" t="s">
        <v>6</v>
      </c>
      <c r="C759" s="11" t="s">
        <v>5</v>
      </c>
      <c r="D759" s="20">
        <v>10</v>
      </c>
      <c r="E759" s="20">
        <v>20</v>
      </c>
      <c r="F759" s="16">
        <v>241</v>
      </c>
      <c r="G759" s="20">
        <v>241</v>
      </c>
      <c r="H759" s="12">
        <v>45931</v>
      </c>
    </row>
    <row r="760" spans="1:8" x14ac:dyDescent="0.25">
      <c r="A760" s="10" t="s">
        <v>11</v>
      </c>
      <c r="B760" s="10" t="s">
        <v>9</v>
      </c>
      <c r="C760" s="11" t="s">
        <v>5</v>
      </c>
      <c r="D760" s="20">
        <v>10</v>
      </c>
      <c r="E760" s="20">
        <v>15</v>
      </c>
      <c r="F760" s="16">
        <v>1153</v>
      </c>
      <c r="G760" s="20">
        <v>864.75</v>
      </c>
      <c r="H760" s="12">
        <v>45931</v>
      </c>
    </row>
    <row r="761" spans="1:8" x14ac:dyDescent="0.25">
      <c r="A761" s="10" t="s">
        <v>15</v>
      </c>
      <c r="B761" s="10" t="s">
        <v>9</v>
      </c>
      <c r="C761" s="11" t="s">
        <v>5</v>
      </c>
      <c r="D761" s="20">
        <v>10</v>
      </c>
      <c r="E761" s="20">
        <v>20</v>
      </c>
      <c r="F761" s="16">
        <v>1566</v>
      </c>
      <c r="G761" s="20">
        <v>1566</v>
      </c>
      <c r="H761" s="12">
        <v>45931</v>
      </c>
    </row>
    <row r="762" spans="1:8" x14ac:dyDescent="0.25">
      <c r="A762" s="10" t="s">
        <v>15</v>
      </c>
      <c r="B762" s="10" t="s">
        <v>4</v>
      </c>
      <c r="C762" s="11" t="s">
        <v>5</v>
      </c>
      <c r="D762" s="20">
        <v>10</v>
      </c>
      <c r="E762" s="20">
        <v>20</v>
      </c>
      <c r="F762" s="16">
        <v>905</v>
      </c>
      <c r="G762" s="20">
        <v>905</v>
      </c>
      <c r="H762" s="12">
        <v>45931</v>
      </c>
    </row>
    <row r="763" spans="1:8" x14ac:dyDescent="0.25">
      <c r="A763" s="10" t="s">
        <v>15</v>
      </c>
      <c r="B763" s="10" t="s">
        <v>7</v>
      </c>
      <c r="C763" s="11" t="s">
        <v>5</v>
      </c>
      <c r="D763" s="20">
        <v>10</v>
      </c>
      <c r="E763" s="20">
        <v>20</v>
      </c>
      <c r="F763" s="16">
        <v>1976</v>
      </c>
      <c r="G763" s="20">
        <v>1976</v>
      </c>
      <c r="H763" s="12">
        <v>45931</v>
      </c>
    </row>
    <row r="764" spans="1:8" x14ac:dyDescent="0.25">
      <c r="A764" s="10" t="s">
        <v>11</v>
      </c>
      <c r="B764" s="10" t="s">
        <v>10</v>
      </c>
      <c r="C764" s="11" t="s">
        <v>5</v>
      </c>
      <c r="D764" s="20">
        <v>120</v>
      </c>
      <c r="E764" s="20">
        <v>125</v>
      </c>
      <c r="F764" s="16">
        <v>2009</v>
      </c>
      <c r="G764" s="20">
        <v>0</v>
      </c>
      <c r="H764" s="12">
        <v>45931</v>
      </c>
    </row>
    <row r="765" spans="1:8" x14ac:dyDescent="0.25">
      <c r="A765" s="10" t="s">
        <v>11</v>
      </c>
      <c r="B765" s="10" t="s">
        <v>9</v>
      </c>
      <c r="C765" s="11" t="s">
        <v>5</v>
      </c>
      <c r="D765" s="20">
        <v>120</v>
      </c>
      <c r="E765" s="20">
        <v>125</v>
      </c>
      <c r="F765" s="16">
        <v>861</v>
      </c>
      <c r="G765" s="20">
        <v>5381.25</v>
      </c>
      <c r="H765" s="12">
        <v>45931</v>
      </c>
    </row>
    <row r="766" spans="1:8" x14ac:dyDescent="0.25">
      <c r="A766" s="10" t="s">
        <v>15</v>
      </c>
      <c r="B766" s="10" t="s">
        <v>10</v>
      </c>
      <c r="C766" s="11" t="s">
        <v>5</v>
      </c>
      <c r="D766" s="20">
        <v>260</v>
      </c>
      <c r="E766" s="20">
        <v>350</v>
      </c>
      <c r="F766" s="16">
        <v>1269</v>
      </c>
      <c r="G766" s="20">
        <v>22207.5</v>
      </c>
      <c r="H766" s="12">
        <v>45931</v>
      </c>
    </row>
    <row r="767" spans="1:8" x14ac:dyDescent="0.25">
      <c r="A767" s="10" t="s">
        <v>15</v>
      </c>
      <c r="B767" s="10" t="s">
        <v>6</v>
      </c>
      <c r="C767" s="11" t="s">
        <v>5</v>
      </c>
      <c r="D767" s="20">
        <v>260</v>
      </c>
      <c r="E767" s="20">
        <v>350</v>
      </c>
      <c r="F767" s="16">
        <v>600</v>
      </c>
      <c r="G767" s="20">
        <v>10500</v>
      </c>
      <c r="H767" s="12">
        <v>45931</v>
      </c>
    </row>
    <row r="768" spans="1:8" x14ac:dyDescent="0.25">
      <c r="A768" s="10" t="s">
        <v>15</v>
      </c>
      <c r="B768" s="10" t="s">
        <v>9</v>
      </c>
      <c r="C768" s="11" t="s">
        <v>5</v>
      </c>
      <c r="D768" s="20">
        <v>260</v>
      </c>
      <c r="E768" s="20">
        <v>350</v>
      </c>
      <c r="F768" s="16">
        <v>986</v>
      </c>
      <c r="G768" s="20">
        <v>17255</v>
      </c>
      <c r="H768" s="12">
        <v>45931</v>
      </c>
    </row>
    <row r="769" spans="1:8" x14ac:dyDescent="0.25">
      <c r="A769" s="10" t="s">
        <v>15</v>
      </c>
      <c r="B769" s="10" t="s">
        <v>7</v>
      </c>
      <c r="C769" s="11" t="s">
        <v>5</v>
      </c>
      <c r="D769" s="20">
        <v>260</v>
      </c>
      <c r="E769" s="20">
        <v>350</v>
      </c>
      <c r="F769" s="16">
        <v>2177</v>
      </c>
      <c r="G769" s="20">
        <v>38097.5</v>
      </c>
      <c r="H769" s="12">
        <v>45931</v>
      </c>
    </row>
    <row r="770" spans="1:8" x14ac:dyDescent="0.25">
      <c r="A770" s="10" t="s">
        <v>15</v>
      </c>
      <c r="B770" s="10" t="s">
        <v>10</v>
      </c>
      <c r="C770" s="11" t="s">
        <v>14</v>
      </c>
      <c r="D770" s="20">
        <v>5</v>
      </c>
      <c r="E770" s="20">
        <v>7</v>
      </c>
      <c r="F770" s="16">
        <v>644</v>
      </c>
      <c r="G770" s="20">
        <v>225.4</v>
      </c>
      <c r="H770" s="12">
        <v>45931</v>
      </c>
    </row>
    <row r="771" spans="1:8" x14ac:dyDescent="0.25">
      <c r="A771" s="10" t="s">
        <v>15</v>
      </c>
      <c r="B771" s="10" t="s">
        <v>10</v>
      </c>
      <c r="C771" s="11" t="s">
        <v>14</v>
      </c>
      <c r="D771" s="20">
        <v>10</v>
      </c>
      <c r="E771" s="20">
        <v>20</v>
      </c>
      <c r="F771" s="16">
        <v>1249</v>
      </c>
      <c r="G771" s="20">
        <v>1249</v>
      </c>
      <c r="H771" s="12">
        <v>45931</v>
      </c>
    </row>
    <row r="772" spans="1:8" x14ac:dyDescent="0.25">
      <c r="A772" s="10" t="s">
        <v>15</v>
      </c>
      <c r="B772" s="10" t="s">
        <v>9</v>
      </c>
      <c r="C772" s="11" t="s">
        <v>14</v>
      </c>
      <c r="D772" s="20">
        <v>10</v>
      </c>
      <c r="E772" s="20">
        <v>20</v>
      </c>
      <c r="F772" s="16">
        <v>1566</v>
      </c>
      <c r="G772" s="20">
        <v>1566</v>
      </c>
      <c r="H772" s="12">
        <v>45931</v>
      </c>
    </row>
    <row r="773" spans="1:8" x14ac:dyDescent="0.25">
      <c r="A773" s="10" t="s">
        <v>11</v>
      </c>
      <c r="B773" s="10" t="s">
        <v>4</v>
      </c>
      <c r="C773" s="11" t="s">
        <v>14</v>
      </c>
      <c r="D773" s="20">
        <v>10</v>
      </c>
      <c r="E773" s="20">
        <v>15</v>
      </c>
      <c r="F773" s="16">
        <v>2031</v>
      </c>
      <c r="G773" s="20">
        <v>1523.25</v>
      </c>
      <c r="H773" s="12">
        <v>45931</v>
      </c>
    </row>
    <row r="774" spans="1:8" x14ac:dyDescent="0.25">
      <c r="A774" s="10" t="s">
        <v>15</v>
      </c>
      <c r="B774" s="10" t="s">
        <v>7</v>
      </c>
      <c r="C774" s="11" t="s">
        <v>14</v>
      </c>
      <c r="D774" s="20">
        <v>10</v>
      </c>
      <c r="E774" s="20">
        <v>20</v>
      </c>
      <c r="F774" s="16">
        <v>1976</v>
      </c>
      <c r="G774" s="20">
        <v>1976</v>
      </c>
      <c r="H774" s="12">
        <v>45931</v>
      </c>
    </row>
    <row r="775" spans="1:8" x14ac:dyDescent="0.25">
      <c r="A775" s="10" t="s">
        <v>28</v>
      </c>
      <c r="B775" s="10" t="s">
        <v>10</v>
      </c>
      <c r="C775" s="11" t="s">
        <v>14</v>
      </c>
      <c r="D775" s="20">
        <v>250</v>
      </c>
      <c r="E775" s="20">
        <v>300</v>
      </c>
      <c r="F775" s="16">
        <v>2021</v>
      </c>
      <c r="G775" s="20">
        <v>30315</v>
      </c>
      <c r="H775" s="12">
        <v>45931</v>
      </c>
    </row>
    <row r="776" spans="1:8" x14ac:dyDescent="0.25">
      <c r="A776" s="10" t="s">
        <v>28</v>
      </c>
      <c r="B776" s="10" t="s">
        <v>4</v>
      </c>
      <c r="C776" s="11" t="s">
        <v>14</v>
      </c>
      <c r="D776" s="20">
        <v>250</v>
      </c>
      <c r="E776" s="20">
        <v>300</v>
      </c>
      <c r="F776" s="16">
        <v>546</v>
      </c>
      <c r="G776" s="20">
        <v>8190</v>
      </c>
      <c r="H776" s="12">
        <v>45931</v>
      </c>
    </row>
    <row r="777" spans="1:8" x14ac:dyDescent="0.25">
      <c r="A777" s="10" t="s">
        <v>28</v>
      </c>
      <c r="B777" s="10" t="s">
        <v>7</v>
      </c>
      <c r="C777" s="11" t="s">
        <v>14</v>
      </c>
      <c r="D777" s="20">
        <v>250</v>
      </c>
      <c r="E777" s="20">
        <v>300</v>
      </c>
      <c r="F777" s="16">
        <v>2181</v>
      </c>
      <c r="G777" s="20">
        <v>32715</v>
      </c>
      <c r="H777" s="12">
        <v>45931</v>
      </c>
    </row>
    <row r="778" spans="1:8" x14ac:dyDescent="0.25">
      <c r="A778" s="10" t="s">
        <v>17</v>
      </c>
      <c r="B778" s="10" t="s">
        <v>9</v>
      </c>
      <c r="C778" s="11" t="s">
        <v>8</v>
      </c>
      <c r="D778" s="20">
        <v>3</v>
      </c>
      <c r="E778" s="20">
        <v>12</v>
      </c>
      <c r="F778" s="16">
        <v>914</v>
      </c>
      <c r="G778" s="20">
        <v>0</v>
      </c>
      <c r="H778" s="12">
        <v>45931</v>
      </c>
    </row>
    <row r="779" spans="1:8" x14ac:dyDescent="0.25">
      <c r="A779" s="10" t="s">
        <v>17</v>
      </c>
      <c r="B779" s="10" t="s">
        <v>7</v>
      </c>
      <c r="C779" s="11" t="s">
        <v>8</v>
      </c>
      <c r="D779" s="20">
        <v>3</v>
      </c>
      <c r="E779" s="20">
        <v>12</v>
      </c>
      <c r="F779" s="16">
        <v>1393</v>
      </c>
      <c r="G779" s="20">
        <v>835.80000000000007</v>
      </c>
      <c r="H779" s="12">
        <v>45931</v>
      </c>
    </row>
    <row r="780" spans="1:8" x14ac:dyDescent="0.25">
      <c r="A780" s="10" t="s">
        <v>15</v>
      </c>
      <c r="B780" s="10" t="s">
        <v>6</v>
      </c>
      <c r="C780" s="11" t="s">
        <v>8</v>
      </c>
      <c r="D780" s="20">
        <v>5</v>
      </c>
      <c r="E780" s="20">
        <v>7</v>
      </c>
      <c r="F780" s="16">
        <v>360</v>
      </c>
      <c r="G780" s="20">
        <v>113.4</v>
      </c>
      <c r="H780" s="12">
        <v>45931</v>
      </c>
    </row>
    <row r="781" spans="1:8" x14ac:dyDescent="0.25">
      <c r="A781" s="10" t="s">
        <v>15</v>
      </c>
      <c r="B781" s="10" t="s">
        <v>9</v>
      </c>
      <c r="C781" s="11" t="s">
        <v>8</v>
      </c>
      <c r="D781" s="20">
        <v>5</v>
      </c>
      <c r="E781" s="20">
        <v>7</v>
      </c>
      <c r="F781" s="16">
        <v>1143</v>
      </c>
      <c r="G781" s="20">
        <v>0</v>
      </c>
      <c r="H781" s="12">
        <v>45931</v>
      </c>
    </row>
    <row r="782" spans="1:8" x14ac:dyDescent="0.25">
      <c r="A782" s="10" t="s">
        <v>28</v>
      </c>
      <c r="B782" s="10" t="s">
        <v>4</v>
      </c>
      <c r="C782" s="11" t="s">
        <v>8</v>
      </c>
      <c r="D782" s="20">
        <v>5</v>
      </c>
      <c r="E782" s="20">
        <v>7</v>
      </c>
      <c r="F782" s="16">
        <v>400</v>
      </c>
      <c r="G782" s="20">
        <v>140</v>
      </c>
      <c r="H782" s="12">
        <v>45931</v>
      </c>
    </row>
    <row r="783" spans="1:8" x14ac:dyDescent="0.25">
      <c r="A783" s="10" t="s">
        <v>15</v>
      </c>
      <c r="B783" s="10" t="s">
        <v>7</v>
      </c>
      <c r="C783" s="11" t="s">
        <v>8</v>
      </c>
      <c r="D783" s="20">
        <v>5</v>
      </c>
      <c r="E783" s="20">
        <v>7</v>
      </c>
      <c r="F783" s="16">
        <v>1731</v>
      </c>
      <c r="G783" s="20">
        <v>605.85</v>
      </c>
      <c r="H783" s="12">
        <v>45931</v>
      </c>
    </row>
    <row r="784" spans="1:8" x14ac:dyDescent="0.25">
      <c r="A784" s="10" t="s">
        <v>44</v>
      </c>
      <c r="B784" s="10" t="s">
        <v>6</v>
      </c>
      <c r="C784" s="11" t="s">
        <v>8</v>
      </c>
      <c r="D784" s="20">
        <v>10</v>
      </c>
      <c r="E784" s="20">
        <v>15</v>
      </c>
      <c r="F784" s="16">
        <v>1175</v>
      </c>
      <c r="G784" s="20">
        <v>881.25</v>
      </c>
      <c r="H784" s="12">
        <v>45931</v>
      </c>
    </row>
    <row r="785" spans="1:8" x14ac:dyDescent="0.25">
      <c r="A785" s="10" t="s">
        <v>15</v>
      </c>
      <c r="B785" s="10" t="s">
        <v>6</v>
      </c>
      <c r="C785" s="11" t="s">
        <v>8</v>
      </c>
      <c r="D785" s="20">
        <v>10</v>
      </c>
      <c r="E785" s="20">
        <v>20</v>
      </c>
      <c r="F785" s="16">
        <v>241</v>
      </c>
      <c r="G785" s="20">
        <v>241</v>
      </c>
      <c r="H785" s="12">
        <v>45931</v>
      </c>
    </row>
    <row r="786" spans="1:8" x14ac:dyDescent="0.25">
      <c r="A786" s="10" t="s">
        <v>11</v>
      </c>
      <c r="B786" s="10" t="s">
        <v>4</v>
      </c>
      <c r="C786" s="11" t="s">
        <v>8</v>
      </c>
      <c r="D786" s="20">
        <v>10</v>
      </c>
      <c r="E786" s="20">
        <v>15</v>
      </c>
      <c r="F786" s="16">
        <v>2031</v>
      </c>
      <c r="G786" s="20">
        <v>0</v>
      </c>
      <c r="H786" s="12">
        <v>45931</v>
      </c>
    </row>
    <row r="787" spans="1:8" x14ac:dyDescent="0.25">
      <c r="A787" s="10" t="s">
        <v>15</v>
      </c>
      <c r="B787" s="10" t="s">
        <v>4</v>
      </c>
      <c r="C787" s="11" t="s">
        <v>8</v>
      </c>
      <c r="D787" s="20">
        <v>10</v>
      </c>
      <c r="E787" s="20">
        <v>20</v>
      </c>
      <c r="F787" s="16">
        <v>905</v>
      </c>
      <c r="G787" s="20">
        <v>905</v>
      </c>
      <c r="H787" s="12">
        <v>45931</v>
      </c>
    </row>
    <row r="788" spans="1:8" x14ac:dyDescent="0.25">
      <c r="A788" s="10" t="s">
        <v>11</v>
      </c>
      <c r="B788" s="10" t="s">
        <v>7</v>
      </c>
      <c r="C788" s="11" t="s">
        <v>8</v>
      </c>
      <c r="D788" s="20">
        <v>10</v>
      </c>
      <c r="E788" s="20">
        <v>15</v>
      </c>
      <c r="F788" s="16">
        <v>1227</v>
      </c>
      <c r="G788" s="20">
        <v>0</v>
      </c>
      <c r="H788" s="12">
        <v>45931</v>
      </c>
    </row>
    <row r="789" spans="1:8" x14ac:dyDescent="0.25">
      <c r="A789" s="10" t="s">
        <v>11</v>
      </c>
      <c r="B789" s="10" t="s">
        <v>6</v>
      </c>
      <c r="C789" s="11" t="s">
        <v>8</v>
      </c>
      <c r="D789" s="20">
        <v>120</v>
      </c>
      <c r="E789" s="20">
        <v>125</v>
      </c>
      <c r="F789" s="16">
        <v>1085</v>
      </c>
      <c r="G789" s="20">
        <v>6781.25</v>
      </c>
      <c r="H789" s="12">
        <v>45931</v>
      </c>
    </row>
    <row r="790" spans="1:8" x14ac:dyDescent="0.25">
      <c r="A790" s="10" t="s">
        <v>17</v>
      </c>
      <c r="B790" s="10" t="s">
        <v>9</v>
      </c>
      <c r="C790" s="11" t="s">
        <v>8</v>
      </c>
      <c r="D790" s="20">
        <v>120</v>
      </c>
      <c r="E790" s="20">
        <v>125</v>
      </c>
      <c r="F790" s="16">
        <v>861</v>
      </c>
      <c r="G790" s="20">
        <v>5381.25</v>
      </c>
      <c r="H790" s="12">
        <v>45931</v>
      </c>
    </row>
    <row r="791" spans="1:8" x14ac:dyDescent="0.25">
      <c r="A791" s="10" t="s">
        <v>11</v>
      </c>
      <c r="B791" s="10" t="s">
        <v>4</v>
      </c>
      <c r="C791" s="11" t="s">
        <v>8</v>
      </c>
      <c r="D791" s="20">
        <v>120</v>
      </c>
      <c r="E791" s="20">
        <v>125</v>
      </c>
      <c r="F791" s="16">
        <v>2156</v>
      </c>
      <c r="G791" s="20">
        <v>13475</v>
      </c>
      <c r="H791" s="12">
        <v>45931</v>
      </c>
    </row>
    <row r="792" spans="1:8" x14ac:dyDescent="0.25">
      <c r="A792" s="10" t="s">
        <v>11</v>
      </c>
      <c r="B792" s="10" t="s">
        <v>4</v>
      </c>
      <c r="C792" s="11" t="s">
        <v>8</v>
      </c>
      <c r="D792" s="20">
        <v>120</v>
      </c>
      <c r="E792" s="20">
        <v>125</v>
      </c>
      <c r="F792" s="16">
        <v>2441</v>
      </c>
      <c r="G792" s="20">
        <v>15256.25</v>
      </c>
      <c r="H792" s="12">
        <v>45931</v>
      </c>
    </row>
    <row r="793" spans="1:8" x14ac:dyDescent="0.25">
      <c r="A793" s="10" t="s">
        <v>15</v>
      </c>
      <c r="B793" s="10" t="s">
        <v>6</v>
      </c>
      <c r="C793" s="11" t="s">
        <v>16</v>
      </c>
      <c r="D793" s="20">
        <v>5</v>
      </c>
      <c r="E793" s="20">
        <v>7</v>
      </c>
      <c r="F793" s="16">
        <v>360</v>
      </c>
      <c r="G793" s="20">
        <v>113.4</v>
      </c>
      <c r="H793" s="12">
        <v>45931</v>
      </c>
    </row>
    <row r="794" spans="1:8" x14ac:dyDescent="0.25">
      <c r="A794" s="10" t="s">
        <v>28</v>
      </c>
      <c r="B794" s="10" t="s">
        <v>4</v>
      </c>
      <c r="C794" s="11" t="s">
        <v>16</v>
      </c>
      <c r="D794" s="20">
        <v>5</v>
      </c>
      <c r="E794" s="20">
        <v>7</v>
      </c>
      <c r="F794" s="16">
        <v>200</v>
      </c>
      <c r="G794" s="20">
        <v>70</v>
      </c>
      <c r="H794" s="12">
        <v>45931</v>
      </c>
    </row>
    <row r="795" spans="1:8" x14ac:dyDescent="0.25">
      <c r="A795" s="10" t="s">
        <v>17</v>
      </c>
      <c r="B795" s="10" t="s">
        <v>9</v>
      </c>
      <c r="C795" s="11" t="s">
        <v>16</v>
      </c>
      <c r="D795" s="20">
        <v>10</v>
      </c>
      <c r="E795" s="20">
        <v>15</v>
      </c>
      <c r="F795" s="16">
        <v>1153</v>
      </c>
      <c r="G795" s="20">
        <v>864.75</v>
      </c>
      <c r="H795" s="12">
        <v>45931</v>
      </c>
    </row>
    <row r="796" spans="1:8" x14ac:dyDescent="0.25">
      <c r="A796" s="10" t="s">
        <v>11</v>
      </c>
      <c r="B796" s="10" t="s">
        <v>7</v>
      </c>
      <c r="C796" s="11" t="s">
        <v>16</v>
      </c>
      <c r="D796" s="20">
        <v>10</v>
      </c>
      <c r="E796" s="20">
        <v>15</v>
      </c>
      <c r="F796" s="16">
        <v>1227</v>
      </c>
      <c r="G796" s="20">
        <v>920.25</v>
      </c>
      <c r="H796" s="12">
        <v>45931</v>
      </c>
    </row>
    <row r="797" spans="1:8" x14ac:dyDescent="0.25">
      <c r="A797" s="10" t="s">
        <v>28</v>
      </c>
      <c r="B797" s="10" t="s">
        <v>10</v>
      </c>
      <c r="C797" s="11" t="s">
        <v>16</v>
      </c>
      <c r="D797" s="20">
        <v>250</v>
      </c>
      <c r="E797" s="20">
        <v>300</v>
      </c>
      <c r="F797" s="16">
        <v>1496</v>
      </c>
      <c r="G797" s="20">
        <v>22440</v>
      </c>
      <c r="H797" s="12">
        <v>45931</v>
      </c>
    </row>
    <row r="798" spans="1:8" x14ac:dyDescent="0.25">
      <c r="A798" s="10" t="s">
        <v>28</v>
      </c>
      <c r="B798" s="10" t="s">
        <v>9</v>
      </c>
      <c r="C798" s="11" t="s">
        <v>16</v>
      </c>
      <c r="D798" s="20">
        <v>250</v>
      </c>
      <c r="E798" s="20">
        <v>300</v>
      </c>
      <c r="F798" s="16">
        <v>1010</v>
      </c>
      <c r="G798" s="20">
        <v>15150</v>
      </c>
      <c r="H798" s="12">
        <v>45931</v>
      </c>
    </row>
    <row r="799" spans="1:8" x14ac:dyDescent="0.25">
      <c r="A799" s="10" t="s">
        <v>15</v>
      </c>
      <c r="B799" s="10" t="s">
        <v>6</v>
      </c>
      <c r="C799" s="11" t="s">
        <v>16</v>
      </c>
      <c r="D799" s="20">
        <v>260</v>
      </c>
      <c r="E799" s="20">
        <v>350</v>
      </c>
      <c r="F799" s="16">
        <v>780</v>
      </c>
      <c r="G799" s="20">
        <v>13650</v>
      </c>
      <c r="H799" s="12">
        <v>45931</v>
      </c>
    </row>
    <row r="800" spans="1:8" x14ac:dyDescent="0.25">
      <c r="A800" s="10" t="s">
        <v>15</v>
      </c>
      <c r="B800" s="10" t="s">
        <v>9</v>
      </c>
      <c r="C800" s="11" t="s">
        <v>16</v>
      </c>
      <c r="D800" s="20">
        <v>260</v>
      </c>
      <c r="E800" s="20">
        <v>350</v>
      </c>
      <c r="F800" s="16">
        <v>986</v>
      </c>
      <c r="G800" s="20">
        <v>17255</v>
      </c>
      <c r="H800" s="12">
        <v>45931</v>
      </c>
    </row>
    <row r="801" spans="1:8" x14ac:dyDescent="0.25">
      <c r="A801" s="10" t="s">
        <v>28</v>
      </c>
      <c r="B801" s="10" t="s">
        <v>4</v>
      </c>
      <c r="C801" s="11" t="s">
        <v>16</v>
      </c>
      <c r="D801" s="20">
        <v>260</v>
      </c>
      <c r="E801" s="20">
        <v>350</v>
      </c>
      <c r="F801" s="16">
        <v>1397</v>
      </c>
      <c r="G801" s="20">
        <v>0</v>
      </c>
      <c r="H801" s="12">
        <v>45931</v>
      </c>
    </row>
    <row r="802" spans="1:8" x14ac:dyDescent="0.25">
      <c r="A802" s="10" t="s">
        <v>15</v>
      </c>
      <c r="B802" s="10" t="s">
        <v>7</v>
      </c>
      <c r="C802" s="11" t="s">
        <v>16</v>
      </c>
      <c r="D802" s="20">
        <v>260</v>
      </c>
      <c r="E802" s="20">
        <v>350</v>
      </c>
      <c r="F802" s="16">
        <v>2177</v>
      </c>
      <c r="G802" s="20">
        <v>38097.5</v>
      </c>
      <c r="H802" s="12">
        <v>45931</v>
      </c>
    </row>
    <row r="803" spans="1:8" x14ac:dyDescent="0.25">
      <c r="A803" s="10" t="s">
        <v>11</v>
      </c>
      <c r="B803" s="10" t="s">
        <v>10</v>
      </c>
      <c r="C803" s="11" t="s">
        <v>12</v>
      </c>
      <c r="D803" s="20">
        <v>10</v>
      </c>
      <c r="E803" s="20">
        <v>15</v>
      </c>
      <c r="F803" s="16">
        <v>689</v>
      </c>
      <c r="G803" s="20">
        <v>0</v>
      </c>
      <c r="H803" s="12">
        <v>45962</v>
      </c>
    </row>
    <row r="804" spans="1:8" x14ac:dyDescent="0.25">
      <c r="A804" s="10" t="s">
        <v>15</v>
      </c>
      <c r="B804" s="10" t="s">
        <v>10</v>
      </c>
      <c r="C804" s="11" t="s">
        <v>12</v>
      </c>
      <c r="D804" s="20">
        <v>10</v>
      </c>
      <c r="E804" s="20">
        <v>20</v>
      </c>
      <c r="F804" s="16">
        <v>1118</v>
      </c>
      <c r="G804" s="20">
        <v>1118</v>
      </c>
      <c r="H804" s="12">
        <v>45962</v>
      </c>
    </row>
    <row r="805" spans="1:8" x14ac:dyDescent="0.25">
      <c r="A805" s="10" t="s">
        <v>15</v>
      </c>
      <c r="B805" s="10" t="s">
        <v>6</v>
      </c>
      <c r="C805" s="11" t="s">
        <v>12</v>
      </c>
      <c r="D805" s="20">
        <v>10</v>
      </c>
      <c r="E805" s="20">
        <v>20</v>
      </c>
      <c r="F805" s="16">
        <v>200</v>
      </c>
      <c r="G805" s="20">
        <v>200</v>
      </c>
      <c r="H805" s="12">
        <v>45962</v>
      </c>
    </row>
    <row r="806" spans="1:8" x14ac:dyDescent="0.25">
      <c r="A806" s="10" t="s">
        <v>15</v>
      </c>
      <c r="B806" s="10" t="s">
        <v>9</v>
      </c>
      <c r="C806" s="11" t="s">
        <v>12</v>
      </c>
      <c r="D806" s="20">
        <v>10</v>
      </c>
      <c r="E806" s="20">
        <v>20</v>
      </c>
      <c r="F806" s="16">
        <v>1236</v>
      </c>
      <c r="G806" s="20">
        <v>1236</v>
      </c>
      <c r="H806" s="12">
        <v>45962</v>
      </c>
    </row>
    <row r="807" spans="1:8" x14ac:dyDescent="0.25">
      <c r="A807" s="10" t="s">
        <v>28</v>
      </c>
      <c r="B807" s="10" t="s">
        <v>4</v>
      </c>
      <c r="C807" s="11" t="s">
        <v>12</v>
      </c>
      <c r="D807" s="20">
        <v>10</v>
      </c>
      <c r="E807" s="20">
        <v>20</v>
      </c>
      <c r="F807" s="16">
        <v>1694</v>
      </c>
      <c r="G807" s="20">
        <v>1694</v>
      </c>
      <c r="H807" s="12">
        <v>45962</v>
      </c>
    </row>
    <row r="808" spans="1:8" x14ac:dyDescent="0.25">
      <c r="A808" s="10" t="s">
        <v>17</v>
      </c>
      <c r="B808" s="10" t="s">
        <v>7</v>
      </c>
      <c r="C808" s="11" t="s">
        <v>12</v>
      </c>
      <c r="D808" s="20">
        <v>10</v>
      </c>
      <c r="E808" s="20">
        <v>20</v>
      </c>
      <c r="F808" s="16">
        <v>941</v>
      </c>
      <c r="G808" s="20">
        <v>941</v>
      </c>
      <c r="H808" s="12">
        <v>45962</v>
      </c>
    </row>
    <row r="809" spans="1:8" x14ac:dyDescent="0.25">
      <c r="A809" s="10" t="s">
        <v>28</v>
      </c>
      <c r="B809" s="10" t="s">
        <v>10</v>
      </c>
      <c r="C809" s="11" t="s">
        <v>12</v>
      </c>
      <c r="D809" s="20">
        <v>250</v>
      </c>
      <c r="E809" s="20">
        <v>300</v>
      </c>
      <c r="F809" s="16">
        <v>1366</v>
      </c>
      <c r="G809" s="20">
        <v>20490</v>
      </c>
      <c r="H809" s="12">
        <v>45962</v>
      </c>
    </row>
    <row r="810" spans="1:8" x14ac:dyDescent="0.25">
      <c r="A810" s="10" t="s">
        <v>11</v>
      </c>
      <c r="B810" s="10" t="s">
        <v>6</v>
      </c>
      <c r="C810" s="11" t="s">
        <v>13</v>
      </c>
      <c r="D810" s="20">
        <v>10</v>
      </c>
      <c r="E810" s="20">
        <v>15</v>
      </c>
      <c r="F810" s="16">
        <v>1513</v>
      </c>
      <c r="G810" s="20">
        <v>1134.75</v>
      </c>
      <c r="H810" s="12">
        <v>45962</v>
      </c>
    </row>
    <row r="811" spans="1:8" x14ac:dyDescent="0.25">
      <c r="A811" s="10" t="s">
        <v>11</v>
      </c>
      <c r="B811" s="10" t="s">
        <v>9</v>
      </c>
      <c r="C811" s="11" t="s">
        <v>13</v>
      </c>
      <c r="D811" s="20">
        <v>10</v>
      </c>
      <c r="E811" s="20">
        <v>15</v>
      </c>
      <c r="F811" s="16">
        <v>2030</v>
      </c>
      <c r="G811" s="20">
        <v>1522.5</v>
      </c>
      <c r="H811" s="12">
        <v>45962</v>
      </c>
    </row>
    <row r="812" spans="1:8" x14ac:dyDescent="0.25">
      <c r="A812" s="10" t="s">
        <v>11</v>
      </c>
      <c r="B812" s="10" t="s">
        <v>4</v>
      </c>
      <c r="C812" s="11" t="s">
        <v>13</v>
      </c>
      <c r="D812" s="20">
        <v>10</v>
      </c>
      <c r="E812" s="20">
        <v>15</v>
      </c>
      <c r="F812" s="16">
        <v>2791</v>
      </c>
      <c r="G812" s="20">
        <v>2093.25</v>
      </c>
      <c r="H812" s="12">
        <v>45962</v>
      </c>
    </row>
    <row r="813" spans="1:8" x14ac:dyDescent="0.25">
      <c r="A813" s="10" t="s">
        <v>11</v>
      </c>
      <c r="B813" s="10" t="s">
        <v>7</v>
      </c>
      <c r="C813" s="11" t="s">
        <v>13</v>
      </c>
      <c r="D813" s="20">
        <v>10</v>
      </c>
      <c r="E813" s="20">
        <v>15</v>
      </c>
      <c r="F813" s="16">
        <v>490</v>
      </c>
      <c r="G813" s="20">
        <v>367.5</v>
      </c>
      <c r="H813" s="12">
        <v>45962</v>
      </c>
    </row>
    <row r="814" spans="1:8" x14ac:dyDescent="0.25">
      <c r="A814" s="10" t="s">
        <v>15</v>
      </c>
      <c r="B814" s="10" t="s">
        <v>10</v>
      </c>
      <c r="C814" s="11" t="s">
        <v>13</v>
      </c>
      <c r="D814" s="20">
        <v>260</v>
      </c>
      <c r="E814" s="20">
        <v>350</v>
      </c>
      <c r="F814" s="16">
        <v>700</v>
      </c>
      <c r="G814" s="20">
        <v>12250</v>
      </c>
      <c r="H814" s="12">
        <v>45962</v>
      </c>
    </row>
    <row r="815" spans="1:8" x14ac:dyDescent="0.25">
      <c r="A815" s="10" t="s">
        <v>15</v>
      </c>
      <c r="B815" s="10" t="s">
        <v>10</v>
      </c>
      <c r="C815" s="11" t="s">
        <v>5</v>
      </c>
      <c r="D815" s="20">
        <v>5</v>
      </c>
      <c r="E815" s="20">
        <v>7</v>
      </c>
      <c r="F815" s="16">
        <v>1808</v>
      </c>
      <c r="G815" s="20">
        <v>632.80000000000007</v>
      </c>
      <c r="H815" s="12">
        <v>45962</v>
      </c>
    </row>
    <row r="816" spans="1:8" x14ac:dyDescent="0.25">
      <c r="A816" s="10" t="s">
        <v>15</v>
      </c>
      <c r="B816" s="10" t="s">
        <v>6</v>
      </c>
      <c r="C816" s="11" t="s">
        <v>5</v>
      </c>
      <c r="D816" s="20">
        <v>5</v>
      </c>
      <c r="E816" s="20">
        <v>7</v>
      </c>
      <c r="F816" s="16">
        <v>90</v>
      </c>
      <c r="G816" s="20">
        <v>32.75</v>
      </c>
      <c r="H816" s="12">
        <v>45962</v>
      </c>
    </row>
    <row r="817" spans="1:8" x14ac:dyDescent="0.25">
      <c r="A817" s="10" t="s">
        <v>15</v>
      </c>
      <c r="B817" s="10" t="s">
        <v>9</v>
      </c>
      <c r="C817" s="11" t="s">
        <v>5</v>
      </c>
      <c r="D817" s="20">
        <v>5</v>
      </c>
      <c r="E817" s="20">
        <v>7</v>
      </c>
      <c r="F817" s="16">
        <v>547</v>
      </c>
      <c r="G817" s="20">
        <v>134.01499999999999</v>
      </c>
      <c r="H817" s="12">
        <v>45962</v>
      </c>
    </row>
    <row r="818" spans="1:8" x14ac:dyDescent="0.25">
      <c r="A818" s="10" t="s">
        <v>28</v>
      </c>
      <c r="B818" s="10" t="s">
        <v>4</v>
      </c>
      <c r="C818" s="11" t="s">
        <v>5</v>
      </c>
      <c r="D818" s="20">
        <v>5</v>
      </c>
      <c r="E818" s="20">
        <v>7</v>
      </c>
      <c r="F818" s="16">
        <v>1333</v>
      </c>
      <c r="G818" s="20">
        <v>0</v>
      </c>
      <c r="H818" s="12">
        <v>45962</v>
      </c>
    </row>
    <row r="819" spans="1:8" x14ac:dyDescent="0.25">
      <c r="A819" s="10" t="s">
        <v>17</v>
      </c>
      <c r="B819" s="10" t="s">
        <v>7</v>
      </c>
      <c r="C819" s="11" t="s">
        <v>5</v>
      </c>
      <c r="D819" s="20">
        <v>5</v>
      </c>
      <c r="E819" s="20">
        <v>7</v>
      </c>
      <c r="F819" s="16">
        <v>639</v>
      </c>
      <c r="G819" s="20">
        <v>22.364999999999998</v>
      </c>
      <c r="H819" s="12">
        <v>45962</v>
      </c>
    </row>
    <row r="820" spans="1:8" x14ac:dyDescent="0.25">
      <c r="A820" s="10" t="s">
        <v>17</v>
      </c>
      <c r="B820" s="10" t="s">
        <v>10</v>
      </c>
      <c r="C820" s="11" t="s">
        <v>14</v>
      </c>
      <c r="D820" s="20">
        <v>3</v>
      </c>
      <c r="E820" s="20">
        <v>12</v>
      </c>
      <c r="F820" s="16">
        <v>2321</v>
      </c>
      <c r="G820" s="20">
        <v>1392.6000000000001</v>
      </c>
      <c r="H820" s="12">
        <v>45962</v>
      </c>
    </row>
    <row r="821" spans="1:8" x14ac:dyDescent="0.25">
      <c r="A821" s="10" t="s">
        <v>17</v>
      </c>
      <c r="B821" s="10" t="s">
        <v>6</v>
      </c>
      <c r="C821" s="11" t="s">
        <v>14</v>
      </c>
      <c r="D821" s="20">
        <v>3</v>
      </c>
      <c r="E821" s="20">
        <v>12</v>
      </c>
      <c r="F821" s="16">
        <v>2342</v>
      </c>
      <c r="G821" s="20">
        <v>1405.2</v>
      </c>
      <c r="H821" s="12">
        <v>45962</v>
      </c>
    </row>
    <row r="822" spans="1:8" x14ac:dyDescent="0.25">
      <c r="A822" s="10" t="s">
        <v>17</v>
      </c>
      <c r="B822" s="10" t="s">
        <v>9</v>
      </c>
      <c r="C822" s="11" t="s">
        <v>14</v>
      </c>
      <c r="D822" s="20">
        <v>3</v>
      </c>
      <c r="E822" s="20">
        <v>12</v>
      </c>
      <c r="F822" s="16">
        <v>2723</v>
      </c>
      <c r="G822" s="20">
        <v>1633.8000000000002</v>
      </c>
      <c r="H822" s="12">
        <v>45962</v>
      </c>
    </row>
    <row r="823" spans="1:8" x14ac:dyDescent="0.25">
      <c r="A823" s="10" t="s">
        <v>17</v>
      </c>
      <c r="B823" s="10" t="s">
        <v>4</v>
      </c>
      <c r="C823" s="11" t="s">
        <v>14</v>
      </c>
      <c r="D823" s="20">
        <v>3</v>
      </c>
      <c r="E823" s="20">
        <v>12</v>
      </c>
      <c r="F823" s="16">
        <v>690</v>
      </c>
      <c r="G823" s="20">
        <v>82.8</v>
      </c>
      <c r="H823" s="12">
        <v>45962</v>
      </c>
    </row>
    <row r="824" spans="1:8" x14ac:dyDescent="0.25">
      <c r="A824" s="10" t="s">
        <v>17</v>
      </c>
      <c r="B824" s="10" t="s">
        <v>7</v>
      </c>
      <c r="C824" s="11" t="s">
        <v>14</v>
      </c>
      <c r="D824" s="20">
        <v>3</v>
      </c>
      <c r="E824" s="20">
        <v>12</v>
      </c>
      <c r="F824" s="16">
        <v>2342</v>
      </c>
      <c r="G824" s="20">
        <v>1405.2</v>
      </c>
      <c r="H824" s="12">
        <v>45962</v>
      </c>
    </row>
    <row r="825" spans="1:8" x14ac:dyDescent="0.25">
      <c r="A825" s="10" t="s">
        <v>28</v>
      </c>
      <c r="B825" s="10" t="s">
        <v>10</v>
      </c>
      <c r="C825" s="11" t="s">
        <v>8</v>
      </c>
      <c r="D825" s="20">
        <v>250</v>
      </c>
      <c r="E825" s="20">
        <v>300</v>
      </c>
      <c r="F825" s="16">
        <v>1359</v>
      </c>
      <c r="G825" s="20">
        <v>20385</v>
      </c>
      <c r="H825" s="12">
        <v>45962</v>
      </c>
    </row>
    <row r="826" spans="1:8" x14ac:dyDescent="0.25">
      <c r="A826" s="10" t="s">
        <v>28</v>
      </c>
      <c r="B826" s="10" t="s">
        <v>9</v>
      </c>
      <c r="C826" s="11" t="s">
        <v>8</v>
      </c>
      <c r="D826" s="20">
        <v>250</v>
      </c>
      <c r="E826" s="20">
        <v>300</v>
      </c>
      <c r="F826" s="16">
        <v>2905</v>
      </c>
      <c r="G826" s="20">
        <v>43575</v>
      </c>
      <c r="H826" s="12">
        <v>45962</v>
      </c>
    </row>
    <row r="827" spans="1:8" x14ac:dyDescent="0.25">
      <c r="A827" s="10" t="s">
        <v>28</v>
      </c>
      <c r="B827" s="10" t="s">
        <v>4</v>
      </c>
      <c r="C827" s="11" t="s">
        <v>8</v>
      </c>
      <c r="D827" s="20">
        <v>250</v>
      </c>
      <c r="E827" s="20">
        <v>300</v>
      </c>
      <c r="F827" s="16">
        <v>2150</v>
      </c>
      <c r="G827" s="20">
        <v>32250</v>
      </c>
      <c r="H827" s="12">
        <v>45962</v>
      </c>
    </row>
    <row r="828" spans="1:8" x14ac:dyDescent="0.25">
      <c r="A828" s="10" t="s">
        <v>28</v>
      </c>
      <c r="B828" s="10" t="s">
        <v>7</v>
      </c>
      <c r="C828" s="11" t="s">
        <v>8</v>
      </c>
      <c r="D828" s="20">
        <v>250</v>
      </c>
      <c r="E828" s="20">
        <v>300</v>
      </c>
      <c r="F828" s="16">
        <v>1324</v>
      </c>
      <c r="G828" s="20">
        <v>19860</v>
      </c>
      <c r="H828" s="12">
        <v>45962</v>
      </c>
    </row>
    <row r="829" spans="1:8" x14ac:dyDescent="0.25">
      <c r="A829" s="10" t="s">
        <v>15</v>
      </c>
      <c r="B829" s="10" t="s">
        <v>6</v>
      </c>
      <c r="C829" s="11" t="s">
        <v>8</v>
      </c>
      <c r="D829" s="20">
        <v>260</v>
      </c>
      <c r="E829" s="20">
        <v>350</v>
      </c>
      <c r="F829" s="16">
        <v>357</v>
      </c>
      <c r="G829" s="20">
        <v>6247.5</v>
      </c>
      <c r="H829" s="12">
        <v>45962</v>
      </c>
    </row>
    <row r="830" spans="1:8" x14ac:dyDescent="0.25">
      <c r="A830" s="10" t="s">
        <v>15</v>
      </c>
      <c r="B830" s="10" t="s">
        <v>9</v>
      </c>
      <c r="C830" s="11" t="s">
        <v>8</v>
      </c>
      <c r="D830" s="20">
        <v>260</v>
      </c>
      <c r="E830" s="20">
        <v>350</v>
      </c>
      <c r="F830" s="16">
        <v>1177</v>
      </c>
      <c r="G830" s="20">
        <v>20597.5</v>
      </c>
      <c r="H830" s="12">
        <v>45962</v>
      </c>
    </row>
    <row r="831" spans="1:8" x14ac:dyDescent="0.25">
      <c r="A831" s="10" t="s">
        <v>15</v>
      </c>
      <c r="B831" s="10" t="s">
        <v>4</v>
      </c>
      <c r="C831" s="11" t="s">
        <v>8</v>
      </c>
      <c r="D831" s="20">
        <v>260</v>
      </c>
      <c r="E831" s="20">
        <v>350</v>
      </c>
      <c r="F831" s="16">
        <v>1197</v>
      </c>
      <c r="G831" s="20">
        <v>20947.5</v>
      </c>
      <c r="H831" s="12">
        <v>45962</v>
      </c>
    </row>
    <row r="832" spans="1:8" x14ac:dyDescent="0.25">
      <c r="A832" s="10" t="s">
        <v>15</v>
      </c>
      <c r="B832" s="10" t="s">
        <v>7</v>
      </c>
      <c r="C832" s="11" t="s">
        <v>8</v>
      </c>
      <c r="D832" s="20">
        <v>260</v>
      </c>
      <c r="E832" s="20">
        <v>350</v>
      </c>
      <c r="F832" s="16">
        <v>1594</v>
      </c>
      <c r="G832" s="20">
        <v>27895</v>
      </c>
      <c r="H832" s="12">
        <v>45962</v>
      </c>
    </row>
    <row r="833" spans="1:8" x14ac:dyDescent="0.25">
      <c r="A833" s="10" t="s">
        <v>44</v>
      </c>
      <c r="B833" s="10" t="s">
        <v>10</v>
      </c>
      <c r="C833" s="11" t="s">
        <v>16</v>
      </c>
      <c r="D833" s="20">
        <v>10</v>
      </c>
      <c r="E833" s="20">
        <v>15</v>
      </c>
      <c r="F833" s="16">
        <v>3000</v>
      </c>
      <c r="G833" s="20">
        <v>300</v>
      </c>
      <c r="H833" s="12">
        <v>45962</v>
      </c>
    </row>
    <row r="834" spans="1:8" x14ac:dyDescent="0.25">
      <c r="A834" s="10" t="s">
        <v>11</v>
      </c>
      <c r="B834" s="10" t="s">
        <v>10</v>
      </c>
      <c r="C834" s="11" t="s">
        <v>16</v>
      </c>
      <c r="D834" s="20">
        <v>120</v>
      </c>
      <c r="E834" s="20">
        <v>125</v>
      </c>
      <c r="F834" s="16">
        <v>2529</v>
      </c>
      <c r="G834" s="20">
        <v>15806.25</v>
      </c>
      <c r="H834" s="12">
        <v>45962</v>
      </c>
    </row>
    <row r="835" spans="1:8" x14ac:dyDescent="0.25">
      <c r="A835" s="10" t="s">
        <v>11</v>
      </c>
      <c r="B835" s="10" t="s">
        <v>6</v>
      </c>
      <c r="C835" s="11" t="s">
        <v>16</v>
      </c>
      <c r="D835" s="20">
        <v>120</v>
      </c>
      <c r="E835" s="20">
        <v>125</v>
      </c>
      <c r="F835" s="16">
        <v>552</v>
      </c>
      <c r="G835" s="20">
        <v>3450</v>
      </c>
      <c r="H835" s="12">
        <v>45962</v>
      </c>
    </row>
    <row r="836" spans="1:8" x14ac:dyDescent="0.25">
      <c r="A836" s="10" t="s">
        <v>17</v>
      </c>
      <c r="B836" s="10" t="s">
        <v>9</v>
      </c>
      <c r="C836" s="11" t="s">
        <v>16</v>
      </c>
      <c r="D836" s="20">
        <v>120</v>
      </c>
      <c r="E836" s="20">
        <v>125</v>
      </c>
      <c r="F836" s="16">
        <v>2387</v>
      </c>
      <c r="G836" s="20">
        <v>14918.75</v>
      </c>
      <c r="H836" s="12">
        <v>45962</v>
      </c>
    </row>
    <row r="837" spans="1:8" x14ac:dyDescent="0.25">
      <c r="A837" s="10" t="s">
        <v>11</v>
      </c>
      <c r="B837" s="10" t="s">
        <v>4</v>
      </c>
      <c r="C837" s="11" t="s">
        <v>16</v>
      </c>
      <c r="D837" s="20">
        <v>120</v>
      </c>
      <c r="E837" s="20">
        <v>125</v>
      </c>
      <c r="F837" s="16">
        <v>877</v>
      </c>
      <c r="G837" s="20">
        <v>5481.25</v>
      </c>
      <c r="H837" s="12">
        <v>45962</v>
      </c>
    </row>
    <row r="838" spans="1:8" x14ac:dyDescent="0.25">
      <c r="A838" s="10" t="s">
        <v>11</v>
      </c>
      <c r="B838" s="10" t="s">
        <v>4</v>
      </c>
      <c r="C838" s="11" t="s">
        <v>16</v>
      </c>
      <c r="D838" s="20">
        <v>120</v>
      </c>
      <c r="E838" s="20">
        <v>125</v>
      </c>
      <c r="F838" s="16">
        <v>1744</v>
      </c>
      <c r="G838" s="20">
        <v>10900</v>
      </c>
      <c r="H838" s="12">
        <v>45962</v>
      </c>
    </row>
    <row r="839" spans="1:8" x14ac:dyDescent="0.25">
      <c r="A839" s="10" t="s">
        <v>11</v>
      </c>
      <c r="B839" s="10" t="s">
        <v>10</v>
      </c>
      <c r="C839" s="11" t="s">
        <v>12</v>
      </c>
      <c r="D839" s="20">
        <v>10</v>
      </c>
      <c r="E839" s="20">
        <v>15</v>
      </c>
      <c r="F839" s="16">
        <v>2300</v>
      </c>
      <c r="G839" s="20">
        <v>0</v>
      </c>
      <c r="H839" s="12">
        <v>45992</v>
      </c>
    </row>
    <row r="840" spans="1:8" x14ac:dyDescent="0.25">
      <c r="A840" s="10" t="s">
        <v>11</v>
      </c>
      <c r="B840" s="10" t="s">
        <v>6</v>
      </c>
      <c r="C840" s="11" t="s">
        <v>12</v>
      </c>
      <c r="D840" s="20">
        <v>10</v>
      </c>
      <c r="E840" s="20">
        <v>15</v>
      </c>
      <c r="F840" s="16">
        <v>711</v>
      </c>
      <c r="G840" s="20">
        <v>533.25</v>
      </c>
      <c r="H840" s="12">
        <v>45992</v>
      </c>
    </row>
    <row r="841" spans="1:8" x14ac:dyDescent="0.25">
      <c r="A841" s="10" t="s">
        <v>11</v>
      </c>
      <c r="B841" s="10" t="s">
        <v>9</v>
      </c>
      <c r="C841" s="11" t="s">
        <v>12</v>
      </c>
      <c r="D841" s="20">
        <v>10</v>
      </c>
      <c r="E841" s="20">
        <v>15</v>
      </c>
      <c r="F841" s="16">
        <v>615</v>
      </c>
      <c r="G841" s="20">
        <v>0</v>
      </c>
      <c r="H841" s="12">
        <v>45992</v>
      </c>
    </row>
    <row r="842" spans="1:8" x14ac:dyDescent="0.25">
      <c r="A842" s="10" t="s">
        <v>11</v>
      </c>
      <c r="B842" s="10" t="s">
        <v>4</v>
      </c>
      <c r="C842" s="11" t="s">
        <v>12</v>
      </c>
      <c r="D842" s="20">
        <v>10</v>
      </c>
      <c r="E842" s="20">
        <v>15</v>
      </c>
      <c r="F842" s="16">
        <v>2072</v>
      </c>
      <c r="G842" s="20">
        <v>1554</v>
      </c>
      <c r="H842" s="12">
        <v>45992</v>
      </c>
    </row>
    <row r="843" spans="1:8" x14ac:dyDescent="0.25">
      <c r="A843" s="10" t="s">
        <v>11</v>
      </c>
      <c r="B843" s="10" t="s">
        <v>4</v>
      </c>
      <c r="C843" s="11" t="s">
        <v>12</v>
      </c>
      <c r="D843" s="20">
        <v>10</v>
      </c>
      <c r="E843" s="20">
        <v>15</v>
      </c>
      <c r="F843" s="16">
        <v>2157</v>
      </c>
      <c r="G843" s="20">
        <v>1617.75</v>
      </c>
      <c r="H843" s="12">
        <v>45992</v>
      </c>
    </row>
    <row r="844" spans="1:8" x14ac:dyDescent="0.25">
      <c r="A844" s="10" t="s">
        <v>11</v>
      </c>
      <c r="B844" s="10" t="s">
        <v>10</v>
      </c>
      <c r="C844" s="11" t="s">
        <v>12</v>
      </c>
      <c r="D844" s="20">
        <v>120</v>
      </c>
      <c r="E844" s="20">
        <v>125</v>
      </c>
      <c r="F844" s="16">
        <v>2729</v>
      </c>
      <c r="G844" s="20">
        <v>17056.25</v>
      </c>
      <c r="H844" s="12">
        <v>45992</v>
      </c>
    </row>
    <row r="845" spans="1:8" x14ac:dyDescent="0.25">
      <c r="A845" s="10" t="s">
        <v>28</v>
      </c>
      <c r="B845" s="10" t="s">
        <v>10</v>
      </c>
      <c r="C845" s="11" t="s">
        <v>12</v>
      </c>
      <c r="D845" s="20">
        <v>250</v>
      </c>
      <c r="E845" s="20">
        <v>300</v>
      </c>
      <c r="F845" s="16">
        <v>1916</v>
      </c>
      <c r="G845" s="20">
        <v>0</v>
      </c>
      <c r="H845" s="12">
        <v>45992</v>
      </c>
    </row>
    <row r="846" spans="1:8" x14ac:dyDescent="0.25">
      <c r="A846" s="10" t="s">
        <v>28</v>
      </c>
      <c r="B846" s="10" t="s">
        <v>10</v>
      </c>
      <c r="C846" s="11" t="s">
        <v>12</v>
      </c>
      <c r="D846" s="20">
        <v>250</v>
      </c>
      <c r="E846" s="20">
        <v>300</v>
      </c>
      <c r="F846" s="16">
        <v>1250</v>
      </c>
      <c r="G846" s="20">
        <v>18750</v>
      </c>
      <c r="H846" s="12">
        <v>45992</v>
      </c>
    </row>
    <row r="847" spans="1:8" x14ac:dyDescent="0.25">
      <c r="A847" s="10" t="s">
        <v>28</v>
      </c>
      <c r="B847" s="10" t="s">
        <v>10</v>
      </c>
      <c r="C847" s="11" t="s">
        <v>12</v>
      </c>
      <c r="D847" s="20">
        <v>250</v>
      </c>
      <c r="E847" s="20">
        <v>300</v>
      </c>
      <c r="F847" s="16">
        <v>1916</v>
      </c>
      <c r="G847" s="20">
        <v>28740</v>
      </c>
      <c r="H847" s="12">
        <v>45992</v>
      </c>
    </row>
    <row r="848" spans="1:8" x14ac:dyDescent="0.25">
      <c r="A848" s="10" t="s">
        <v>28</v>
      </c>
      <c r="B848" s="10" t="s">
        <v>9</v>
      </c>
      <c r="C848" s="11" t="s">
        <v>12</v>
      </c>
      <c r="D848" s="20">
        <v>250</v>
      </c>
      <c r="E848" s="20">
        <v>300</v>
      </c>
      <c r="F848" s="16">
        <v>1372</v>
      </c>
      <c r="G848" s="20">
        <v>20580</v>
      </c>
      <c r="H848" s="12">
        <v>45992</v>
      </c>
    </row>
    <row r="849" spans="1:8" x14ac:dyDescent="0.25">
      <c r="A849" s="10" t="s">
        <v>28</v>
      </c>
      <c r="B849" s="10" t="s">
        <v>4</v>
      </c>
      <c r="C849" s="11" t="s">
        <v>12</v>
      </c>
      <c r="D849" s="20">
        <v>250</v>
      </c>
      <c r="E849" s="20">
        <v>300</v>
      </c>
      <c r="F849" s="16">
        <v>635</v>
      </c>
      <c r="G849" s="20">
        <v>9525</v>
      </c>
      <c r="H849" s="12">
        <v>45992</v>
      </c>
    </row>
    <row r="850" spans="1:8" x14ac:dyDescent="0.25">
      <c r="A850" s="10" t="s">
        <v>28</v>
      </c>
      <c r="B850" s="10" t="s">
        <v>7</v>
      </c>
      <c r="C850" s="11" t="s">
        <v>12</v>
      </c>
      <c r="D850" s="20">
        <v>250</v>
      </c>
      <c r="E850" s="20">
        <v>300</v>
      </c>
      <c r="F850" s="16">
        <v>853</v>
      </c>
      <c r="G850" s="20">
        <v>12795</v>
      </c>
      <c r="H850" s="12">
        <v>45992</v>
      </c>
    </row>
    <row r="851" spans="1:8" x14ac:dyDescent="0.25">
      <c r="A851" s="10" t="s">
        <v>17</v>
      </c>
      <c r="B851" s="10" t="s">
        <v>10</v>
      </c>
      <c r="C851" s="11" t="s">
        <v>13</v>
      </c>
      <c r="D851" s="20">
        <v>3</v>
      </c>
      <c r="E851" s="20">
        <v>12</v>
      </c>
      <c r="F851" s="16">
        <v>2431</v>
      </c>
      <c r="G851" s="20">
        <v>1458.6000000000001</v>
      </c>
      <c r="H851" s="12">
        <v>45992</v>
      </c>
    </row>
    <row r="852" spans="1:8" x14ac:dyDescent="0.25">
      <c r="A852" s="10" t="s">
        <v>15</v>
      </c>
      <c r="B852" s="10" t="s">
        <v>6</v>
      </c>
      <c r="C852" s="11" t="s">
        <v>13</v>
      </c>
      <c r="D852" s="20">
        <v>5</v>
      </c>
      <c r="E852" s="20">
        <v>7</v>
      </c>
      <c r="F852" s="16">
        <v>280</v>
      </c>
      <c r="G852" s="20">
        <v>137.19999999999999</v>
      </c>
      <c r="H852" s="12">
        <v>45992</v>
      </c>
    </row>
    <row r="853" spans="1:8" x14ac:dyDescent="0.25">
      <c r="A853" s="10" t="s">
        <v>15</v>
      </c>
      <c r="B853" s="10" t="s">
        <v>9</v>
      </c>
      <c r="C853" s="11" t="s">
        <v>13</v>
      </c>
      <c r="D853" s="20">
        <v>5</v>
      </c>
      <c r="E853" s="20">
        <v>7</v>
      </c>
      <c r="F853" s="16">
        <v>570</v>
      </c>
      <c r="G853" s="20">
        <v>99.75</v>
      </c>
      <c r="H853" s="12">
        <v>45992</v>
      </c>
    </row>
    <row r="854" spans="1:8" x14ac:dyDescent="0.25">
      <c r="A854" s="10" t="s">
        <v>15</v>
      </c>
      <c r="B854" s="10" t="s">
        <v>4</v>
      </c>
      <c r="C854" s="11" t="s">
        <v>13</v>
      </c>
      <c r="D854" s="20">
        <v>5</v>
      </c>
      <c r="E854" s="20">
        <v>7</v>
      </c>
      <c r="F854" s="16">
        <v>521</v>
      </c>
      <c r="G854" s="20">
        <v>182.35000000000002</v>
      </c>
      <c r="H854" s="12">
        <v>45992</v>
      </c>
    </row>
    <row r="855" spans="1:8" x14ac:dyDescent="0.25">
      <c r="A855" s="10" t="s">
        <v>15</v>
      </c>
      <c r="B855" s="10" t="s">
        <v>7</v>
      </c>
      <c r="C855" s="11" t="s">
        <v>13</v>
      </c>
      <c r="D855" s="20">
        <v>5</v>
      </c>
      <c r="E855" s="20">
        <v>7</v>
      </c>
      <c r="F855" s="16">
        <v>2487</v>
      </c>
      <c r="G855" s="20">
        <v>870.45</v>
      </c>
      <c r="H855" s="12">
        <v>45992</v>
      </c>
    </row>
    <row r="856" spans="1:8" x14ac:dyDescent="0.25">
      <c r="A856" s="10" t="s">
        <v>15</v>
      </c>
      <c r="B856" s="10" t="s">
        <v>10</v>
      </c>
      <c r="C856" s="11" t="s">
        <v>13</v>
      </c>
      <c r="D856" s="20">
        <v>10</v>
      </c>
      <c r="E856" s="20">
        <v>20</v>
      </c>
      <c r="F856" s="16">
        <v>1817</v>
      </c>
      <c r="G856" s="20">
        <v>0</v>
      </c>
      <c r="H856" s="12">
        <v>45992</v>
      </c>
    </row>
    <row r="857" spans="1:8" x14ac:dyDescent="0.25">
      <c r="A857" s="10" t="s">
        <v>15</v>
      </c>
      <c r="B857" s="10" t="s">
        <v>10</v>
      </c>
      <c r="C857" s="11" t="s">
        <v>13</v>
      </c>
      <c r="D857" s="20">
        <v>260</v>
      </c>
      <c r="E857" s="20">
        <v>350</v>
      </c>
      <c r="F857" s="16">
        <v>400</v>
      </c>
      <c r="G857" s="20">
        <v>7000</v>
      </c>
      <c r="H857" s="12">
        <v>45992</v>
      </c>
    </row>
    <row r="858" spans="1:8" x14ac:dyDescent="0.25">
      <c r="A858" s="10" t="s">
        <v>15</v>
      </c>
      <c r="B858" s="10" t="s">
        <v>10</v>
      </c>
      <c r="C858" s="11" t="s">
        <v>13</v>
      </c>
      <c r="D858" s="20">
        <v>260</v>
      </c>
      <c r="E858" s="20">
        <v>350</v>
      </c>
      <c r="F858" s="16">
        <v>500</v>
      </c>
      <c r="G858" s="20">
        <v>8750</v>
      </c>
      <c r="H858" s="12">
        <v>45992</v>
      </c>
    </row>
    <row r="859" spans="1:8" x14ac:dyDescent="0.25">
      <c r="A859" s="10" t="s">
        <v>15</v>
      </c>
      <c r="B859" s="10" t="s">
        <v>6</v>
      </c>
      <c r="C859" s="11" t="s">
        <v>13</v>
      </c>
      <c r="D859" s="20">
        <v>260</v>
      </c>
      <c r="E859" s="20">
        <v>350</v>
      </c>
      <c r="F859" s="16">
        <v>200</v>
      </c>
      <c r="G859" s="20">
        <v>0</v>
      </c>
      <c r="H859" s="12">
        <v>45992</v>
      </c>
    </row>
    <row r="860" spans="1:8" x14ac:dyDescent="0.25">
      <c r="A860" s="10" t="s">
        <v>15</v>
      </c>
      <c r="B860" s="10" t="s">
        <v>9</v>
      </c>
      <c r="C860" s="11" t="s">
        <v>13</v>
      </c>
      <c r="D860" s="20">
        <v>260</v>
      </c>
      <c r="E860" s="20">
        <v>350</v>
      </c>
      <c r="F860" s="16">
        <v>274</v>
      </c>
      <c r="G860" s="20">
        <v>4795</v>
      </c>
      <c r="H860" s="12">
        <v>45992</v>
      </c>
    </row>
    <row r="861" spans="1:8" x14ac:dyDescent="0.25">
      <c r="A861" s="10" t="s">
        <v>28</v>
      </c>
      <c r="B861" s="10" t="s">
        <v>4</v>
      </c>
      <c r="C861" s="11" t="s">
        <v>13</v>
      </c>
      <c r="D861" s="20">
        <v>260</v>
      </c>
      <c r="E861" s="20">
        <v>350</v>
      </c>
      <c r="F861" s="16">
        <v>1362</v>
      </c>
      <c r="G861" s="20">
        <v>23835</v>
      </c>
      <c r="H861" s="12">
        <v>45992</v>
      </c>
    </row>
    <row r="862" spans="1:8" x14ac:dyDescent="0.25">
      <c r="A862" s="10" t="s">
        <v>15</v>
      </c>
      <c r="B862" s="10" t="s">
        <v>7</v>
      </c>
      <c r="C862" s="11" t="s">
        <v>13</v>
      </c>
      <c r="D862" s="20">
        <v>260</v>
      </c>
      <c r="E862" s="20">
        <v>350</v>
      </c>
      <c r="F862" s="16">
        <v>2155</v>
      </c>
      <c r="G862" s="20">
        <v>37712.5</v>
      </c>
      <c r="H862" s="12">
        <v>45992</v>
      </c>
    </row>
    <row r="863" spans="1:8" x14ac:dyDescent="0.25">
      <c r="A863" s="10" t="s">
        <v>17</v>
      </c>
      <c r="B863" s="10" t="s">
        <v>10</v>
      </c>
      <c r="C863" s="11" t="s">
        <v>5</v>
      </c>
      <c r="D863" s="20">
        <v>3</v>
      </c>
      <c r="E863" s="20">
        <v>12</v>
      </c>
      <c r="F863" s="16">
        <v>2431</v>
      </c>
      <c r="G863" s="20">
        <v>1458.6000000000001</v>
      </c>
      <c r="H863" s="12">
        <v>45992</v>
      </c>
    </row>
    <row r="864" spans="1:8" x14ac:dyDescent="0.25">
      <c r="A864" s="10" t="s">
        <v>17</v>
      </c>
      <c r="B864" s="10" t="s">
        <v>6</v>
      </c>
      <c r="C864" s="11" t="s">
        <v>5</v>
      </c>
      <c r="D864" s="20">
        <v>3</v>
      </c>
      <c r="E864" s="20">
        <v>12</v>
      </c>
      <c r="F864" s="16">
        <v>1013</v>
      </c>
      <c r="G864" s="20">
        <v>607.80000000000007</v>
      </c>
      <c r="H864" s="12">
        <v>45992</v>
      </c>
    </row>
    <row r="865" spans="1:8" x14ac:dyDescent="0.25">
      <c r="A865" s="10" t="s">
        <v>17</v>
      </c>
      <c r="B865" s="10" t="s">
        <v>9</v>
      </c>
      <c r="C865" s="11" t="s">
        <v>5</v>
      </c>
      <c r="D865" s="20">
        <v>3</v>
      </c>
      <c r="E865" s="20">
        <v>12</v>
      </c>
      <c r="F865" s="16">
        <v>914</v>
      </c>
      <c r="G865" s="20">
        <v>548.4</v>
      </c>
      <c r="H865" s="12">
        <v>45992</v>
      </c>
    </row>
    <row r="866" spans="1:8" x14ac:dyDescent="0.25">
      <c r="A866" s="10" t="s">
        <v>17</v>
      </c>
      <c r="B866" s="10" t="s">
        <v>4</v>
      </c>
      <c r="C866" s="11" t="s">
        <v>5</v>
      </c>
      <c r="D866" s="20">
        <v>3</v>
      </c>
      <c r="E866" s="20">
        <v>12</v>
      </c>
      <c r="F866" s="16">
        <v>1084</v>
      </c>
      <c r="G866" s="20">
        <v>130.08000000000001</v>
      </c>
      <c r="H866" s="12">
        <v>45992</v>
      </c>
    </row>
    <row r="867" spans="1:8" x14ac:dyDescent="0.25">
      <c r="A867" s="10" t="s">
        <v>17</v>
      </c>
      <c r="B867" s="10" t="s">
        <v>7</v>
      </c>
      <c r="C867" s="11" t="s">
        <v>5</v>
      </c>
      <c r="D867" s="20">
        <v>3</v>
      </c>
      <c r="E867" s="20">
        <v>12</v>
      </c>
      <c r="F867" s="16">
        <v>1055</v>
      </c>
      <c r="G867" s="20">
        <v>126.6</v>
      </c>
      <c r="H867" s="12">
        <v>45992</v>
      </c>
    </row>
    <row r="868" spans="1:8" x14ac:dyDescent="0.25">
      <c r="A868" s="10" t="s">
        <v>15</v>
      </c>
      <c r="B868" s="10" t="s">
        <v>10</v>
      </c>
      <c r="C868" s="11" t="s">
        <v>5</v>
      </c>
      <c r="D868" s="20">
        <v>5</v>
      </c>
      <c r="E868" s="20">
        <v>7</v>
      </c>
      <c r="F868" s="16">
        <v>1582</v>
      </c>
      <c r="G868" s="20">
        <v>553.70000000000005</v>
      </c>
      <c r="H868" s="12">
        <v>45992</v>
      </c>
    </row>
    <row r="869" spans="1:8" x14ac:dyDescent="0.25">
      <c r="A869" s="10" t="s">
        <v>28</v>
      </c>
      <c r="B869" s="10" t="s">
        <v>10</v>
      </c>
      <c r="C869" s="11" t="s">
        <v>5</v>
      </c>
      <c r="D869" s="20">
        <v>250</v>
      </c>
      <c r="E869" s="20">
        <v>300</v>
      </c>
      <c r="F869" s="16">
        <v>1250</v>
      </c>
      <c r="G869" s="20">
        <v>18750</v>
      </c>
      <c r="H869" s="12">
        <v>45992</v>
      </c>
    </row>
    <row r="870" spans="1:8" x14ac:dyDescent="0.25">
      <c r="A870" s="10" t="s">
        <v>28</v>
      </c>
      <c r="B870" s="10" t="s">
        <v>9</v>
      </c>
      <c r="C870" s="11" t="s">
        <v>5</v>
      </c>
      <c r="D870" s="20">
        <v>250</v>
      </c>
      <c r="E870" s="20">
        <v>300</v>
      </c>
      <c r="F870" s="16">
        <v>1372</v>
      </c>
      <c r="G870" s="20">
        <v>20580</v>
      </c>
      <c r="H870" s="12">
        <v>45992</v>
      </c>
    </row>
    <row r="871" spans="1:8" x14ac:dyDescent="0.25">
      <c r="A871" s="10" t="s">
        <v>28</v>
      </c>
      <c r="B871" s="10" t="s">
        <v>4</v>
      </c>
      <c r="C871" s="11" t="s">
        <v>5</v>
      </c>
      <c r="D871" s="20">
        <v>250</v>
      </c>
      <c r="E871" s="20">
        <v>300</v>
      </c>
      <c r="F871" s="16">
        <v>635</v>
      </c>
      <c r="G871" s="20">
        <v>9525</v>
      </c>
      <c r="H871" s="12">
        <v>45992</v>
      </c>
    </row>
    <row r="872" spans="1:8" x14ac:dyDescent="0.25">
      <c r="A872" s="10" t="s">
        <v>28</v>
      </c>
      <c r="B872" s="10" t="s">
        <v>7</v>
      </c>
      <c r="C872" s="11" t="s">
        <v>5</v>
      </c>
      <c r="D872" s="20">
        <v>250</v>
      </c>
      <c r="E872" s="20">
        <v>300</v>
      </c>
      <c r="F872" s="16">
        <v>853</v>
      </c>
      <c r="G872" s="20">
        <v>12795</v>
      </c>
      <c r="H872" s="12">
        <v>45992</v>
      </c>
    </row>
    <row r="873" spans="1:8" x14ac:dyDescent="0.25">
      <c r="A873" s="10" t="s">
        <v>11</v>
      </c>
      <c r="B873" s="10" t="s">
        <v>10</v>
      </c>
      <c r="C873" s="11" t="s">
        <v>14</v>
      </c>
      <c r="D873" s="20">
        <v>10</v>
      </c>
      <c r="E873" s="20">
        <v>15</v>
      </c>
      <c r="F873" s="16">
        <v>2300</v>
      </c>
      <c r="G873" s="20">
        <v>0</v>
      </c>
      <c r="H873" s="12">
        <v>45992</v>
      </c>
    </row>
    <row r="874" spans="1:8" x14ac:dyDescent="0.25">
      <c r="A874" s="10" t="s">
        <v>11</v>
      </c>
      <c r="B874" s="10" t="s">
        <v>6</v>
      </c>
      <c r="C874" s="11" t="s">
        <v>14</v>
      </c>
      <c r="D874" s="20">
        <v>10</v>
      </c>
      <c r="E874" s="20">
        <v>15</v>
      </c>
      <c r="F874" s="16">
        <v>711</v>
      </c>
      <c r="G874" s="20">
        <v>533.25</v>
      </c>
      <c r="H874" s="12">
        <v>45992</v>
      </c>
    </row>
    <row r="875" spans="1:8" x14ac:dyDescent="0.25">
      <c r="A875" s="10" t="s">
        <v>11</v>
      </c>
      <c r="B875" s="10" t="s">
        <v>9</v>
      </c>
      <c r="C875" s="11" t="s">
        <v>14</v>
      </c>
      <c r="D875" s="20">
        <v>10</v>
      </c>
      <c r="E875" s="20">
        <v>15</v>
      </c>
      <c r="F875" s="16">
        <v>615</v>
      </c>
      <c r="G875" s="20">
        <v>0</v>
      </c>
      <c r="H875" s="12">
        <v>45992</v>
      </c>
    </row>
    <row r="876" spans="1:8" x14ac:dyDescent="0.25">
      <c r="A876" s="10" t="s">
        <v>11</v>
      </c>
      <c r="B876" s="10" t="s">
        <v>4</v>
      </c>
      <c r="C876" s="11" t="s">
        <v>14</v>
      </c>
      <c r="D876" s="20">
        <v>10</v>
      </c>
      <c r="E876" s="20">
        <v>15</v>
      </c>
      <c r="F876" s="16">
        <v>2072</v>
      </c>
      <c r="G876" s="20">
        <v>1554</v>
      </c>
      <c r="H876" s="12">
        <v>45992</v>
      </c>
    </row>
    <row r="877" spans="1:8" x14ac:dyDescent="0.25">
      <c r="A877" s="10" t="s">
        <v>11</v>
      </c>
      <c r="B877" s="10" t="s">
        <v>4</v>
      </c>
      <c r="C877" s="11" t="s">
        <v>14</v>
      </c>
      <c r="D877" s="20">
        <v>10</v>
      </c>
      <c r="E877" s="20">
        <v>15</v>
      </c>
      <c r="F877" s="16">
        <v>2157</v>
      </c>
      <c r="G877" s="20">
        <v>1617.75</v>
      </c>
      <c r="H877" s="12">
        <v>45992</v>
      </c>
    </row>
    <row r="878" spans="1:8" x14ac:dyDescent="0.25">
      <c r="A878" s="10" t="s">
        <v>11</v>
      </c>
      <c r="B878" s="10" t="s">
        <v>6</v>
      </c>
      <c r="C878" s="11" t="s">
        <v>14</v>
      </c>
      <c r="D878" s="20">
        <v>120</v>
      </c>
      <c r="E878" s="20">
        <v>125</v>
      </c>
      <c r="F878" s="16">
        <v>1706</v>
      </c>
      <c r="G878" s="20">
        <v>10662.5</v>
      </c>
      <c r="H878" s="12">
        <v>45992</v>
      </c>
    </row>
    <row r="879" spans="1:8" x14ac:dyDescent="0.25">
      <c r="A879" s="10" t="s">
        <v>17</v>
      </c>
      <c r="B879" s="10" t="s">
        <v>9</v>
      </c>
      <c r="C879" s="11" t="s">
        <v>14</v>
      </c>
      <c r="D879" s="20">
        <v>120</v>
      </c>
      <c r="E879" s="20">
        <v>125</v>
      </c>
      <c r="F879" s="16">
        <v>2797</v>
      </c>
      <c r="G879" s="20">
        <v>17481.25</v>
      </c>
      <c r="H879" s="12">
        <v>45992</v>
      </c>
    </row>
    <row r="880" spans="1:8" x14ac:dyDescent="0.25">
      <c r="A880" s="10" t="s">
        <v>11</v>
      </c>
      <c r="B880" s="10" t="s">
        <v>4</v>
      </c>
      <c r="C880" s="11" t="s">
        <v>14</v>
      </c>
      <c r="D880" s="20">
        <v>120</v>
      </c>
      <c r="E880" s="20">
        <v>125</v>
      </c>
      <c r="F880" s="16">
        <v>1138</v>
      </c>
      <c r="G880" s="20">
        <v>7112.5</v>
      </c>
      <c r="H880" s="12">
        <v>45992</v>
      </c>
    </row>
    <row r="881" spans="1:8" x14ac:dyDescent="0.25">
      <c r="A881" s="10" t="s">
        <v>11</v>
      </c>
      <c r="B881" s="10" t="s">
        <v>7</v>
      </c>
      <c r="C881" s="11" t="s">
        <v>14</v>
      </c>
      <c r="D881" s="20">
        <v>120</v>
      </c>
      <c r="E881" s="20">
        <v>125</v>
      </c>
      <c r="F881" s="16">
        <v>1287</v>
      </c>
      <c r="G881" s="20">
        <v>0</v>
      </c>
      <c r="H881" s="12">
        <v>45992</v>
      </c>
    </row>
    <row r="882" spans="1:8" x14ac:dyDescent="0.25">
      <c r="A882" s="10" t="s">
        <v>17</v>
      </c>
      <c r="B882" s="10" t="s">
        <v>6</v>
      </c>
      <c r="C882" s="11" t="s">
        <v>8</v>
      </c>
      <c r="D882" s="20">
        <v>3</v>
      </c>
      <c r="E882" s="20">
        <v>12</v>
      </c>
      <c r="F882" s="16">
        <v>1013</v>
      </c>
      <c r="G882" s="20">
        <v>607.80000000000007</v>
      </c>
      <c r="H882" s="12">
        <v>45992</v>
      </c>
    </row>
    <row r="883" spans="1:8" x14ac:dyDescent="0.25">
      <c r="A883" s="10" t="s">
        <v>17</v>
      </c>
      <c r="B883" s="10" t="s">
        <v>9</v>
      </c>
      <c r="C883" s="11" t="s">
        <v>8</v>
      </c>
      <c r="D883" s="20">
        <v>3</v>
      </c>
      <c r="E883" s="20">
        <v>12</v>
      </c>
      <c r="F883" s="16">
        <v>914</v>
      </c>
      <c r="G883" s="20">
        <v>548.4</v>
      </c>
      <c r="H883" s="12">
        <v>45992</v>
      </c>
    </row>
    <row r="884" spans="1:8" x14ac:dyDescent="0.25">
      <c r="A884" s="10" t="s">
        <v>17</v>
      </c>
      <c r="B884" s="10" t="s">
        <v>4</v>
      </c>
      <c r="C884" s="11" t="s">
        <v>8</v>
      </c>
      <c r="D884" s="20">
        <v>3</v>
      </c>
      <c r="E884" s="20">
        <v>12</v>
      </c>
      <c r="F884" s="16">
        <v>1084</v>
      </c>
      <c r="G884" s="20">
        <v>130.08000000000001</v>
      </c>
      <c r="H884" s="12">
        <v>45992</v>
      </c>
    </row>
    <row r="885" spans="1:8" x14ac:dyDescent="0.25">
      <c r="A885" s="10" t="s">
        <v>17</v>
      </c>
      <c r="B885" s="10" t="s">
        <v>7</v>
      </c>
      <c r="C885" s="11" t="s">
        <v>8</v>
      </c>
      <c r="D885" s="20">
        <v>3</v>
      </c>
      <c r="E885" s="20">
        <v>12</v>
      </c>
      <c r="F885" s="16">
        <v>1055</v>
      </c>
      <c r="G885" s="20">
        <v>126.6</v>
      </c>
      <c r="H885" s="12">
        <v>45992</v>
      </c>
    </row>
    <row r="886" spans="1:8" x14ac:dyDescent="0.25">
      <c r="A886" s="10" t="s">
        <v>15</v>
      </c>
      <c r="B886" s="10" t="s">
        <v>6</v>
      </c>
      <c r="C886" s="11" t="s">
        <v>8</v>
      </c>
      <c r="D886" s="20">
        <v>10</v>
      </c>
      <c r="E886" s="20">
        <v>20</v>
      </c>
      <c r="F886" s="16">
        <v>200</v>
      </c>
      <c r="G886" s="20">
        <v>200</v>
      </c>
      <c r="H886" s="12">
        <v>45992</v>
      </c>
    </row>
    <row r="887" spans="1:8" x14ac:dyDescent="0.25">
      <c r="A887" s="10" t="s">
        <v>15</v>
      </c>
      <c r="B887" s="10" t="s">
        <v>9</v>
      </c>
      <c r="C887" s="11" t="s">
        <v>8</v>
      </c>
      <c r="D887" s="20">
        <v>10</v>
      </c>
      <c r="E887" s="20">
        <v>20</v>
      </c>
      <c r="F887" s="16">
        <v>80</v>
      </c>
      <c r="G887" s="20">
        <v>80</v>
      </c>
      <c r="H887" s="12">
        <v>45992</v>
      </c>
    </row>
    <row r="888" spans="1:8" x14ac:dyDescent="0.25">
      <c r="A888" s="10" t="s">
        <v>15</v>
      </c>
      <c r="B888" s="10" t="s">
        <v>4</v>
      </c>
      <c r="C888" s="11" t="s">
        <v>8</v>
      </c>
      <c r="D888" s="20">
        <v>10</v>
      </c>
      <c r="E888" s="20">
        <v>20</v>
      </c>
      <c r="F888" s="16">
        <v>1233</v>
      </c>
      <c r="G888" s="20">
        <v>1233</v>
      </c>
      <c r="H888" s="12">
        <v>45992</v>
      </c>
    </row>
    <row r="889" spans="1:8" x14ac:dyDescent="0.25">
      <c r="A889" s="10" t="s">
        <v>17</v>
      </c>
      <c r="B889" s="10" t="s">
        <v>7</v>
      </c>
      <c r="C889" s="11" t="s">
        <v>8</v>
      </c>
      <c r="D889" s="20">
        <v>10</v>
      </c>
      <c r="E889" s="20">
        <v>20</v>
      </c>
      <c r="F889" s="16">
        <v>293</v>
      </c>
      <c r="G889" s="20">
        <v>293</v>
      </c>
      <c r="H889" s="12">
        <v>45992</v>
      </c>
    </row>
    <row r="890" spans="1:8" x14ac:dyDescent="0.25">
      <c r="A890" s="10" t="s">
        <v>11</v>
      </c>
      <c r="B890" s="10" t="s">
        <v>6</v>
      </c>
      <c r="C890" s="11" t="s">
        <v>8</v>
      </c>
      <c r="D890" s="20">
        <v>120</v>
      </c>
      <c r="E890" s="20">
        <v>125</v>
      </c>
      <c r="F890" s="16">
        <v>1706</v>
      </c>
      <c r="G890" s="20">
        <v>10662.5</v>
      </c>
      <c r="H890" s="12">
        <v>45992</v>
      </c>
    </row>
    <row r="891" spans="1:8" x14ac:dyDescent="0.25">
      <c r="A891" s="10" t="s">
        <v>17</v>
      </c>
      <c r="B891" s="10" t="s">
        <v>9</v>
      </c>
      <c r="C891" s="11" t="s">
        <v>8</v>
      </c>
      <c r="D891" s="20">
        <v>120</v>
      </c>
      <c r="E891" s="20">
        <v>125</v>
      </c>
      <c r="F891" s="16">
        <v>2797</v>
      </c>
      <c r="G891" s="20">
        <v>17481.25</v>
      </c>
      <c r="H891" s="12">
        <v>45992</v>
      </c>
    </row>
    <row r="892" spans="1:8" x14ac:dyDescent="0.25">
      <c r="A892" s="10" t="s">
        <v>11</v>
      </c>
      <c r="B892" s="10" t="s">
        <v>4</v>
      </c>
      <c r="C892" s="11" t="s">
        <v>8</v>
      </c>
      <c r="D892" s="20">
        <v>120</v>
      </c>
      <c r="E892" s="20">
        <v>125</v>
      </c>
      <c r="F892" s="16">
        <v>1138</v>
      </c>
      <c r="G892" s="20">
        <v>7112.5</v>
      </c>
      <c r="H892" s="12">
        <v>45992</v>
      </c>
    </row>
    <row r="893" spans="1:8" x14ac:dyDescent="0.25">
      <c r="A893" s="10" t="s">
        <v>11</v>
      </c>
      <c r="B893" s="10" t="s">
        <v>7</v>
      </c>
      <c r="C893" s="11" t="s">
        <v>8</v>
      </c>
      <c r="D893" s="20">
        <v>120</v>
      </c>
      <c r="E893" s="20">
        <v>125</v>
      </c>
      <c r="F893" s="16">
        <v>1287</v>
      </c>
      <c r="G893" s="20">
        <v>0</v>
      </c>
      <c r="H893" s="12">
        <v>45992</v>
      </c>
    </row>
    <row r="894" spans="1:8" x14ac:dyDescent="0.25">
      <c r="A894" s="10" t="s">
        <v>15</v>
      </c>
      <c r="B894" s="10" t="s">
        <v>6</v>
      </c>
      <c r="C894" s="11" t="s">
        <v>8</v>
      </c>
      <c r="D894" s="20">
        <v>260</v>
      </c>
      <c r="E894" s="20">
        <v>350</v>
      </c>
      <c r="F894" s="16">
        <v>200</v>
      </c>
      <c r="G894" s="20">
        <v>0</v>
      </c>
      <c r="H894" s="12">
        <v>45992</v>
      </c>
    </row>
    <row r="895" spans="1:8" x14ac:dyDescent="0.25">
      <c r="A895" s="10" t="s">
        <v>15</v>
      </c>
      <c r="B895" s="10" t="s">
        <v>9</v>
      </c>
      <c r="C895" s="11" t="s">
        <v>8</v>
      </c>
      <c r="D895" s="20">
        <v>260</v>
      </c>
      <c r="E895" s="20">
        <v>350</v>
      </c>
      <c r="F895" s="16">
        <v>274</v>
      </c>
      <c r="G895" s="20">
        <v>4795</v>
      </c>
      <c r="H895" s="12">
        <v>45992</v>
      </c>
    </row>
    <row r="896" spans="1:8" x14ac:dyDescent="0.25">
      <c r="A896" s="10" t="s">
        <v>28</v>
      </c>
      <c r="B896" s="10" t="s">
        <v>4</v>
      </c>
      <c r="C896" s="11" t="s">
        <v>8</v>
      </c>
      <c r="D896" s="20">
        <v>260</v>
      </c>
      <c r="E896" s="20">
        <v>350</v>
      </c>
      <c r="F896" s="16">
        <v>1362</v>
      </c>
      <c r="G896" s="20">
        <v>23835</v>
      </c>
      <c r="H896" s="12">
        <v>45992</v>
      </c>
    </row>
    <row r="897" spans="1:8" x14ac:dyDescent="0.25">
      <c r="A897" s="10" t="s">
        <v>17</v>
      </c>
      <c r="B897" s="10" t="s">
        <v>7</v>
      </c>
      <c r="C897" s="11" t="s">
        <v>8</v>
      </c>
      <c r="D897" s="20">
        <v>260</v>
      </c>
      <c r="E897" s="20">
        <v>350</v>
      </c>
      <c r="F897" s="16">
        <v>2155</v>
      </c>
      <c r="G897" s="20">
        <v>37712.5</v>
      </c>
      <c r="H897" s="12">
        <v>45992</v>
      </c>
    </row>
    <row r="898" spans="1:8" x14ac:dyDescent="0.25">
      <c r="A898" s="10" t="s">
        <v>15</v>
      </c>
      <c r="B898" s="10" t="s">
        <v>10</v>
      </c>
      <c r="C898" s="11" t="s">
        <v>16</v>
      </c>
      <c r="D898" s="20">
        <v>5</v>
      </c>
      <c r="E898" s="20">
        <v>7</v>
      </c>
      <c r="F898" s="16">
        <v>1582</v>
      </c>
      <c r="G898" s="20">
        <v>553.70000000000005</v>
      </c>
      <c r="H898" s="12">
        <v>45992</v>
      </c>
    </row>
    <row r="899" spans="1:8" x14ac:dyDescent="0.25">
      <c r="A899" s="10" t="s">
        <v>15</v>
      </c>
      <c r="B899" s="10" t="s">
        <v>6</v>
      </c>
      <c r="C899" s="11" t="s">
        <v>16</v>
      </c>
      <c r="D899" s="20">
        <v>5</v>
      </c>
      <c r="E899" s="20">
        <v>7</v>
      </c>
      <c r="F899" s="16">
        <v>280</v>
      </c>
      <c r="G899" s="20">
        <v>137.19999999999999</v>
      </c>
      <c r="H899" s="12">
        <v>45992</v>
      </c>
    </row>
    <row r="900" spans="1:8" x14ac:dyDescent="0.25">
      <c r="A900" s="10" t="s">
        <v>15</v>
      </c>
      <c r="B900" s="10" t="s">
        <v>9</v>
      </c>
      <c r="C900" s="11" t="s">
        <v>16</v>
      </c>
      <c r="D900" s="20">
        <v>5</v>
      </c>
      <c r="E900" s="20">
        <v>7</v>
      </c>
      <c r="F900" s="16">
        <v>570</v>
      </c>
      <c r="G900" s="20">
        <v>99.75</v>
      </c>
      <c r="H900" s="12">
        <v>45992</v>
      </c>
    </row>
    <row r="901" spans="1:8" x14ac:dyDescent="0.25">
      <c r="A901" s="10" t="s">
        <v>15</v>
      </c>
      <c r="B901" s="10" t="s">
        <v>4</v>
      </c>
      <c r="C901" s="11" t="s">
        <v>16</v>
      </c>
      <c r="D901" s="20">
        <v>5</v>
      </c>
      <c r="E901" s="20">
        <v>7</v>
      </c>
      <c r="F901" s="16">
        <v>521</v>
      </c>
      <c r="G901" s="20">
        <v>182.35000000000002</v>
      </c>
      <c r="H901" s="12">
        <v>45992</v>
      </c>
    </row>
    <row r="902" spans="1:8" x14ac:dyDescent="0.25">
      <c r="A902" s="10" t="s">
        <v>17</v>
      </c>
      <c r="B902" s="10" t="s">
        <v>7</v>
      </c>
      <c r="C902" s="11" t="s">
        <v>16</v>
      </c>
      <c r="D902" s="20">
        <v>5</v>
      </c>
      <c r="E902" s="20">
        <v>7</v>
      </c>
      <c r="F902" s="16">
        <v>2487</v>
      </c>
      <c r="G902" s="20">
        <v>870.45</v>
      </c>
      <c r="H902" s="12">
        <v>45992</v>
      </c>
    </row>
    <row r="903" spans="1:8" x14ac:dyDescent="0.25">
      <c r="A903" s="10" t="s">
        <v>15</v>
      </c>
      <c r="B903" s="10" t="s">
        <v>10</v>
      </c>
      <c r="C903" s="11" t="s">
        <v>16</v>
      </c>
      <c r="D903" s="20">
        <v>10</v>
      </c>
      <c r="E903" s="20">
        <v>20</v>
      </c>
      <c r="F903" s="16">
        <v>1817</v>
      </c>
      <c r="G903" s="20">
        <v>0</v>
      </c>
      <c r="H903" s="12">
        <v>45992</v>
      </c>
    </row>
    <row r="904" spans="1:8" x14ac:dyDescent="0.25">
      <c r="A904" s="10" t="s">
        <v>44</v>
      </c>
      <c r="B904" s="10" t="s">
        <v>6</v>
      </c>
      <c r="C904" s="11" t="s">
        <v>16</v>
      </c>
      <c r="D904" s="20">
        <v>10</v>
      </c>
      <c r="E904" s="20">
        <v>15</v>
      </c>
      <c r="F904" s="16">
        <v>1175</v>
      </c>
      <c r="G904" s="20">
        <v>881.25</v>
      </c>
      <c r="H904" s="12">
        <v>45992</v>
      </c>
    </row>
    <row r="905" spans="1:8" x14ac:dyDescent="0.25">
      <c r="A905" s="10" t="s">
        <v>15</v>
      </c>
      <c r="B905" s="10" t="s">
        <v>6</v>
      </c>
      <c r="C905" s="11" t="s">
        <v>16</v>
      </c>
      <c r="D905" s="20">
        <v>10</v>
      </c>
      <c r="E905" s="20">
        <v>20</v>
      </c>
      <c r="F905" s="16">
        <v>150</v>
      </c>
      <c r="G905" s="20">
        <v>0</v>
      </c>
      <c r="H905" s="12">
        <v>45992</v>
      </c>
    </row>
    <row r="906" spans="1:8" x14ac:dyDescent="0.25">
      <c r="A906" s="10" t="s">
        <v>15</v>
      </c>
      <c r="B906" s="10" t="s">
        <v>9</v>
      </c>
      <c r="C906" s="11" t="s">
        <v>16</v>
      </c>
      <c r="D906" s="20">
        <v>10</v>
      </c>
      <c r="E906" s="20">
        <v>20</v>
      </c>
      <c r="F906" s="16">
        <v>50</v>
      </c>
      <c r="G906" s="20">
        <v>50</v>
      </c>
      <c r="H906" s="12">
        <v>45992</v>
      </c>
    </row>
    <row r="907" spans="1:8" x14ac:dyDescent="0.25">
      <c r="A907" s="10" t="s">
        <v>15</v>
      </c>
      <c r="B907" s="10" t="s">
        <v>4</v>
      </c>
      <c r="C907" s="11" t="s">
        <v>16</v>
      </c>
      <c r="D907" s="20">
        <v>10</v>
      </c>
      <c r="E907" s="20">
        <v>20</v>
      </c>
      <c r="F907" s="16">
        <v>1233</v>
      </c>
      <c r="G907" s="20">
        <v>1233</v>
      </c>
      <c r="H907" s="12">
        <v>45992</v>
      </c>
    </row>
    <row r="908" spans="1:8" x14ac:dyDescent="0.25">
      <c r="A908" s="10" t="s">
        <v>17</v>
      </c>
      <c r="B908" s="10" t="s">
        <v>7</v>
      </c>
      <c r="C908" s="11" t="s">
        <v>16</v>
      </c>
      <c r="D908" s="20">
        <v>10</v>
      </c>
      <c r="E908" s="20">
        <v>20</v>
      </c>
      <c r="F908" s="16">
        <v>293</v>
      </c>
      <c r="G908" s="20">
        <v>293</v>
      </c>
      <c r="H908" s="12">
        <v>45992</v>
      </c>
    </row>
    <row r="909" spans="1:8" x14ac:dyDescent="0.25">
      <c r="A909" s="10" t="s">
        <v>11</v>
      </c>
      <c r="B909" s="10" t="s">
        <v>10</v>
      </c>
      <c r="C909" s="11" t="s">
        <v>16</v>
      </c>
      <c r="D909" s="20">
        <v>120</v>
      </c>
      <c r="E909" s="20">
        <v>125</v>
      </c>
      <c r="F909" s="16">
        <v>2729</v>
      </c>
      <c r="G909" s="20">
        <v>17056.25</v>
      </c>
      <c r="H909" s="12">
        <v>45992</v>
      </c>
    </row>
    <row r="910" spans="1:8" x14ac:dyDescent="0.25">
      <c r="A910" s="10" t="s">
        <v>47</v>
      </c>
      <c r="B910" s="13"/>
      <c r="C910" s="13"/>
      <c r="D910" s="21">
        <f>SUM(D2:D909)</f>
        <v>84014.8</v>
      </c>
      <c r="E910" s="21"/>
      <c r="F910" s="17">
        <f>SUM(F2:F909)</f>
        <v>1297397</v>
      </c>
      <c r="G910" s="21">
        <f>SUM(G2:G909)</f>
        <v>6194478.8999999994</v>
      </c>
      <c r="H910" s="14"/>
    </row>
  </sheetData>
  <autoFilter ref="A1:H909" xr:uid="{7D52F27A-E1A3-4139-9037-FB46714200A2}">
    <sortState xmlns:xlrd2="http://schemas.microsoft.com/office/spreadsheetml/2017/richdata2" ref="A2:H910">
      <sortCondition ref="H1:H909"/>
    </sortState>
  </autoFilter>
  <sortState xmlns:xlrd2="http://schemas.microsoft.com/office/spreadsheetml/2017/richdata2" ref="A210:H909">
    <sortCondition ref="A210:A909"/>
    <sortCondition ref="B210:B909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23B5-65BE-4521-835D-1E9C9660F790}">
  <dimension ref="A1:M52"/>
  <sheetViews>
    <sheetView workbookViewId="0">
      <selection activeCell="C17" sqref="C17"/>
    </sheetView>
  </sheetViews>
  <sheetFormatPr defaultRowHeight="15" x14ac:dyDescent="0.25"/>
  <cols>
    <col min="1" max="1" width="27.28515625" customWidth="1"/>
    <col min="2" max="2" width="26.28515625" bestFit="1" customWidth="1"/>
    <col min="3" max="7" width="20.85546875" customWidth="1"/>
    <col min="8" max="8" width="26.7109375" bestFit="1" customWidth="1"/>
    <col min="9" max="9" width="28.85546875" style="6" bestFit="1" customWidth="1"/>
    <col min="10" max="13" width="11.85546875" style="6" bestFit="1" customWidth="1"/>
    <col min="14" max="14" width="10.7109375" bestFit="1" customWidth="1"/>
    <col min="15" max="15" width="11" bestFit="1" customWidth="1"/>
    <col min="16" max="16" width="7.28515625" bestFit="1" customWidth="1"/>
    <col min="17" max="17" width="11.85546875" bestFit="1" customWidth="1"/>
    <col min="18" max="18" width="6.85546875" bestFit="1" customWidth="1"/>
    <col min="19" max="19" width="9" bestFit="1" customWidth="1"/>
    <col min="20" max="20" width="14.140625" bestFit="1" customWidth="1"/>
    <col min="21" max="21" width="9.7109375" bestFit="1" customWidth="1"/>
    <col min="22" max="22" width="7.28515625" bestFit="1" customWidth="1"/>
    <col min="23" max="23" width="11.85546875" bestFit="1" customWidth="1"/>
    <col min="24" max="24" width="6.85546875" bestFit="1" customWidth="1"/>
    <col min="25" max="25" width="9" bestFit="1" customWidth="1"/>
    <col min="26" max="26" width="12.7109375" bestFit="1" customWidth="1"/>
    <col min="27" max="27" width="9.5703125" bestFit="1" customWidth="1"/>
    <col min="28" max="28" width="7.28515625" bestFit="1" customWidth="1"/>
    <col min="29" max="29" width="11.85546875" bestFit="1" customWidth="1"/>
    <col min="30" max="30" width="6.85546875" bestFit="1" customWidth="1"/>
    <col min="31" max="31" width="9" bestFit="1" customWidth="1"/>
    <col min="32" max="32" width="12.140625" bestFit="1" customWidth="1"/>
    <col min="33" max="33" width="9.5703125" bestFit="1" customWidth="1"/>
    <col min="34" max="34" width="7.28515625" bestFit="1" customWidth="1"/>
    <col min="35" max="35" width="11.85546875" bestFit="1" customWidth="1"/>
    <col min="36" max="36" width="6.85546875" bestFit="1" customWidth="1"/>
    <col min="37" max="37" width="9" bestFit="1" customWidth="1"/>
    <col min="38" max="38" width="11.42578125" bestFit="1" customWidth="1"/>
    <col min="39" max="39" width="9.5703125" bestFit="1" customWidth="1"/>
    <col min="40" max="40" width="7.28515625" bestFit="1" customWidth="1"/>
    <col min="41" max="41" width="11.85546875" bestFit="1" customWidth="1"/>
    <col min="42" max="42" width="6.85546875" bestFit="1" customWidth="1"/>
    <col min="43" max="43" width="9" bestFit="1" customWidth="1"/>
    <col min="44" max="44" width="10.42578125" bestFit="1" customWidth="1"/>
    <col min="45" max="45" width="10.7109375" bestFit="1" customWidth="1"/>
  </cols>
  <sheetData>
    <row r="1" spans="1:13" x14ac:dyDescent="0.25">
      <c r="H1" s="4" t="s">
        <v>3</v>
      </c>
      <c r="I1" s="6" t="s">
        <v>22</v>
      </c>
    </row>
    <row r="2" spans="1:13" x14ac:dyDescent="0.25">
      <c r="A2" s="4" t="s">
        <v>3</v>
      </c>
      <c r="B2" t="s">
        <v>22</v>
      </c>
    </row>
    <row r="3" spans="1:13" x14ac:dyDescent="0.25">
      <c r="H3" s="4" t="s">
        <v>1</v>
      </c>
      <c r="I3" s="6" t="s">
        <v>24</v>
      </c>
      <c r="J3"/>
      <c r="K3"/>
      <c r="L3"/>
      <c r="M3"/>
    </row>
    <row r="4" spans="1:13" x14ac:dyDescent="0.25">
      <c r="A4" t="s">
        <v>21</v>
      </c>
      <c r="H4" t="s">
        <v>5</v>
      </c>
      <c r="I4" s="25">
        <v>1</v>
      </c>
      <c r="J4"/>
      <c r="K4"/>
      <c r="L4"/>
      <c r="M4"/>
    </row>
    <row r="5" spans="1:13" x14ac:dyDescent="0.25">
      <c r="A5" s="5">
        <v>1297397</v>
      </c>
      <c r="H5" t="s">
        <v>8</v>
      </c>
      <c r="I5" s="25">
        <v>2</v>
      </c>
      <c r="J5"/>
      <c r="K5"/>
      <c r="L5"/>
      <c r="M5"/>
    </row>
    <row r="6" spans="1:13" x14ac:dyDescent="0.25">
      <c r="H6" t="s">
        <v>12</v>
      </c>
      <c r="I6" s="25">
        <v>3</v>
      </c>
      <c r="J6"/>
      <c r="K6"/>
      <c r="L6"/>
      <c r="M6"/>
    </row>
    <row r="7" spans="1:13" x14ac:dyDescent="0.25">
      <c r="H7" t="s">
        <v>26</v>
      </c>
      <c r="I7" s="25">
        <v>4</v>
      </c>
      <c r="J7"/>
      <c r="K7"/>
      <c r="L7"/>
      <c r="M7"/>
    </row>
    <row r="8" spans="1:13" x14ac:dyDescent="0.25">
      <c r="H8" t="s">
        <v>16</v>
      </c>
      <c r="I8" s="25">
        <v>5</v>
      </c>
      <c r="J8"/>
      <c r="K8"/>
      <c r="L8"/>
      <c r="M8"/>
    </row>
    <row r="9" spans="1:13" x14ac:dyDescent="0.25">
      <c r="H9" t="s">
        <v>13</v>
      </c>
      <c r="I9" s="25">
        <v>6</v>
      </c>
      <c r="J9"/>
      <c r="K9"/>
      <c r="L9"/>
      <c r="M9"/>
    </row>
    <row r="10" spans="1:13" x14ac:dyDescent="0.25">
      <c r="H10" t="s">
        <v>48</v>
      </c>
      <c r="I10" s="25">
        <v>7</v>
      </c>
      <c r="J10"/>
      <c r="K10"/>
      <c r="L10"/>
      <c r="M10"/>
    </row>
    <row r="11" spans="1:13" x14ac:dyDescent="0.25">
      <c r="H11" t="s">
        <v>20</v>
      </c>
      <c r="I11" s="25"/>
      <c r="J11"/>
      <c r="K11"/>
      <c r="L11"/>
      <c r="M11"/>
    </row>
    <row r="12" spans="1:13" x14ac:dyDescent="0.25">
      <c r="A12" s="4" t="s">
        <v>3</v>
      </c>
      <c r="B12" t="s">
        <v>22</v>
      </c>
    </row>
    <row r="14" spans="1:13" x14ac:dyDescent="0.25">
      <c r="A14" t="s">
        <v>23</v>
      </c>
      <c r="C14" s="4"/>
      <c r="H14" s="4" t="s">
        <v>3</v>
      </c>
      <c r="I14" s="6" t="s">
        <v>22</v>
      </c>
    </row>
    <row r="15" spans="1:13" x14ac:dyDescent="0.25">
      <c r="A15" s="5">
        <v>15380</v>
      </c>
    </row>
    <row r="16" spans="1:13" x14ac:dyDescent="0.25">
      <c r="H16" s="4" t="s">
        <v>1</v>
      </c>
      <c r="I16" s="6" t="s">
        <v>21</v>
      </c>
      <c r="J16"/>
      <c r="K16"/>
      <c r="L16"/>
      <c r="M16"/>
    </row>
    <row r="17" spans="1:13" x14ac:dyDescent="0.25">
      <c r="H17" t="s">
        <v>5</v>
      </c>
      <c r="I17" s="7">
        <v>286781</v>
      </c>
      <c r="J17"/>
      <c r="K17"/>
      <c r="L17"/>
      <c r="M17"/>
    </row>
    <row r="18" spans="1:13" x14ac:dyDescent="0.25">
      <c r="H18" t="s">
        <v>8</v>
      </c>
      <c r="I18" s="7">
        <v>258597</v>
      </c>
      <c r="J18"/>
      <c r="K18"/>
      <c r="L18"/>
      <c r="M18"/>
    </row>
    <row r="19" spans="1:13" x14ac:dyDescent="0.25">
      <c r="H19" t="s">
        <v>12</v>
      </c>
      <c r="I19" s="7">
        <v>215418</v>
      </c>
      <c r="J19"/>
      <c r="K19"/>
      <c r="L19"/>
      <c r="M19"/>
    </row>
    <row r="20" spans="1:13" x14ac:dyDescent="0.25">
      <c r="H20" t="s">
        <v>26</v>
      </c>
      <c r="I20" s="7">
        <v>213259</v>
      </c>
      <c r="J20"/>
      <c r="K20"/>
      <c r="L20"/>
      <c r="M20"/>
    </row>
    <row r="21" spans="1:13" x14ac:dyDescent="0.25">
      <c r="H21" t="s">
        <v>16</v>
      </c>
      <c r="I21" s="7">
        <v>168064</v>
      </c>
      <c r="J21"/>
      <c r="K21"/>
      <c r="L21"/>
      <c r="M21"/>
    </row>
    <row r="22" spans="1:13" x14ac:dyDescent="0.25">
      <c r="H22" t="s">
        <v>13</v>
      </c>
      <c r="I22" s="7">
        <v>154655</v>
      </c>
      <c r="J22"/>
      <c r="K22"/>
      <c r="L22"/>
      <c r="M22"/>
    </row>
    <row r="23" spans="1:13" x14ac:dyDescent="0.25">
      <c r="A23" s="4" t="s">
        <v>3</v>
      </c>
      <c r="B23" t="s">
        <v>22</v>
      </c>
      <c r="H23" t="s">
        <v>48</v>
      </c>
      <c r="I23" s="7">
        <v>623</v>
      </c>
      <c r="J23"/>
      <c r="K23"/>
      <c r="L23"/>
      <c r="M23"/>
    </row>
    <row r="24" spans="1:13" x14ac:dyDescent="0.25">
      <c r="H24" t="s">
        <v>20</v>
      </c>
      <c r="I24" s="7">
        <v>1297397</v>
      </c>
      <c r="J24"/>
      <c r="K24"/>
      <c r="L24"/>
      <c r="M24"/>
    </row>
    <row r="25" spans="1:13" x14ac:dyDescent="0.25">
      <c r="A25" s="4" t="s">
        <v>0</v>
      </c>
      <c r="B25" t="s">
        <v>21</v>
      </c>
    </row>
    <row r="26" spans="1:13" x14ac:dyDescent="0.25">
      <c r="A26" t="s">
        <v>17</v>
      </c>
      <c r="B26" s="9">
        <v>315959</v>
      </c>
    </row>
    <row r="27" spans="1:13" x14ac:dyDescent="0.25">
      <c r="A27" t="s">
        <v>15</v>
      </c>
      <c r="B27" s="9">
        <v>280378</v>
      </c>
    </row>
    <row r="28" spans="1:13" x14ac:dyDescent="0.25">
      <c r="A28" t="s">
        <v>28</v>
      </c>
      <c r="B28" s="9">
        <v>262112</v>
      </c>
    </row>
    <row r="29" spans="1:13" x14ac:dyDescent="0.25">
      <c r="A29" t="s">
        <v>11</v>
      </c>
      <c r="B29" s="9">
        <v>240034</v>
      </c>
      <c r="I29"/>
      <c r="J29"/>
      <c r="K29"/>
      <c r="L29"/>
      <c r="M29"/>
    </row>
    <row r="30" spans="1:13" x14ac:dyDescent="0.25">
      <c r="A30" t="s">
        <v>44</v>
      </c>
      <c r="B30" s="9">
        <v>196153</v>
      </c>
      <c r="I30"/>
      <c r="J30"/>
      <c r="K30"/>
      <c r="L30"/>
      <c r="M30"/>
    </row>
    <row r="31" spans="1:13" x14ac:dyDescent="0.25">
      <c r="A31" t="s">
        <v>48</v>
      </c>
      <c r="B31" s="9">
        <v>2761</v>
      </c>
      <c r="I31"/>
      <c r="J31"/>
      <c r="K31"/>
      <c r="L31"/>
      <c r="M31"/>
    </row>
    <row r="32" spans="1:13" x14ac:dyDescent="0.25">
      <c r="A32" t="s">
        <v>20</v>
      </c>
      <c r="B32" s="9">
        <v>1297397</v>
      </c>
      <c r="I32"/>
      <c r="J32"/>
      <c r="K32"/>
      <c r="L32"/>
      <c r="M32"/>
    </row>
    <row r="33" spans="1:8" customFormat="1" x14ac:dyDescent="0.25"/>
    <row r="34" spans="1:8" customFormat="1" x14ac:dyDescent="0.25"/>
    <row r="35" spans="1:8" customFormat="1" x14ac:dyDescent="0.25"/>
    <row r="36" spans="1:8" customFormat="1" x14ac:dyDescent="0.25">
      <c r="A36" s="4" t="s">
        <v>42</v>
      </c>
      <c r="B36" t="s">
        <v>43</v>
      </c>
    </row>
    <row r="37" spans="1:8" customFormat="1" x14ac:dyDescent="0.25"/>
    <row r="38" spans="1:8" x14ac:dyDescent="0.25">
      <c r="A38" s="4" t="s">
        <v>21</v>
      </c>
      <c r="B38" s="4" t="s">
        <v>0</v>
      </c>
    </row>
    <row r="39" spans="1:8" x14ac:dyDescent="0.25">
      <c r="A39" s="4" t="s">
        <v>29</v>
      </c>
      <c r="B39" t="s">
        <v>17</v>
      </c>
      <c r="C39" t="s">
        <v>28</v>
      </c>
      <c r="D39" t="s">
        <v>15</v>
      </c>
      <c r="E39" t="s">
        <v>44</v>
      </c>
      <c r="F39" t="s">
        <v>11</v>
      </c>
      <c r="G39" t="s">
        <v>48</v>
      </c>
      <c r="H39" t="s">
        <v>20</v>
      </c>
    </row>
    <row r="40" spans="1:8" x14ac:dyDescent="0.25">
      <c r="A40" t="s">
        <v>30</v>
      </c>
      <c r="B40" s="9">
        <v>349</v>
      </c>
      <c r="C40" s="9">
        <v>442</v>
      </c>
      <c r="D40" s="9">
        <v>1159</v>
      </c>
      <c r="E40" s="9">
        <v>1743</v>
      </c>
      <c r="F40" s="9">
        <v>345</v>
      </c>
      <c r="G40" s="9"/>
      <c r="H40" s="9">
        <v>4038</v>
      </c>
    </row>
    <row r="41" spans="1:8" x14ac:dyDescent="0.25">
      <c r="A41" t="s">
        <v>31</v>
      </c>
      <c r="B41" s="9">
        <v>2498</v>
      </c>
      <c r="C41" s="9">
        <v>5952</v>
      </c>
      <c r="D41" s="9">
        <v>547</v>
      </c>
      <c r="E41" s="9">
        <v>3130</v>
      </c>
      <c r="F41" s="9">
        <v>2500</v>
      </c>
      <c r="G41" s="9"/>
      <c r="H41" s="9">
        <v>14627</v>
      </c>
    </row>
    <row r="42" spans="1:8" x14ac:dyDescent="0.25">
      <c r="A42" t="s">
        <v>32</v>
      </c>
      <c r="B42" s="9">
        <v>34193</v>
      </c>
      <c r="C42" s="9">
        <v>10787</v>
      </c>
      <c r="D42" s="9">
        <v>2022</v>
      </c>
      <c r="E42" s="9">
        <v>1743</v>
      </c>
      <c r="F42" s="9">
        <v>809</v>
      </c>
      <c r="G42" s="9">
        <v>2761</v>
      </c>
      <c r="H42" s="9">
        <v>52315</v>
      </c>
    </row>
    <row r="43" spans="1:8" x14ac:dyDescent="0.25">
      <c r="A43" t="s">
        <v>33</v>
      </c>
      <c r="B43" s="9">
        <v>12294</v>
      </c>
      <c r="C43" s="9">
        <v>639</v>
      </c>
      <c r="D43" s="9">
        <v>263</v>
      </c>
      <c r="E43" s="9">
        <v>11252</v>
      </c>
      <c r="F43" s="9">
        <v>8178</v>
      </c>
      <c r="G43" s="9"/>
      <c r="H43" s="9">
        <v>32626</v>
      </c>
    </row>
    <row r="44" spans="1:8" x14ac:dyDescent="0.25">
      <c r="A44" t="s">
        <v>34</v>
      </c>
      <c r="B44" s="9">
        <v>2294</v>
      </c>
      <c r="C44" s="9">
        <v>3430</v>
      </c>
      <c r="D44" s="9">
        <v>7426</v>
      </c>
      <c r="E44" s="9">
        <v>671</v>
      </c>
      <c r="F44" s="9">
        <v>809</v>
      </c>
      <c r="G44" s="9"/>
      <c r="H44" s="9">
        <v>14630</v>
      </c>
    </row>
    <row r="45" spans="1:8" x14ac:dyDescent="0.25">
      <c r="A45" t="s">
        <v>35</v>
      </c>
      <c r="B45" s="9">
        <v>12958</v>
      </c>
      <c r="C45" s="9">
        <v>10824</v>
      </c>
      <c r="D45" s="9">
        <v>14495</v>
      </c>
      <c r="E45" s="9">
        <v>7269</v>
      </c>
      <c r="F45" s="9">
        <v>8275</v>
      </c>
      <c r="G45" s="9"/>
      <c r="H45" s="9">
        <v>53821</v>
      </c>
    </row>
    <row r="46" spans="1:8" x14ac:dyDescent="0.25">
      <c r="A46" t="s">
        <v>36</v>
      </c>
      <c r="B46" s="9">
        <v>2498</v>
      </c>
      <c r="C46" s="9">
        <v>7716</v>
      </c>
      <c r="D46" s="9">
        <v>11883</v>
      </c>
      <c r="E46" s="9">
        <v>671</v>
      </c>
      <c r="F46" s="9">
        <v>2416</v>
      </c>
      <c r="G46" s="9"/>
      <c r="H46" s="9">
        <v>25184</v>
      </c>
    </row>
    <row r="47" spans="1:8" x14ac:dyDescent="0.25">
      <c r="A47" t="s">
        <v>37</v>
      </c>
      <c r="B47" s="9">
        <v>9602</v>
      </c>
      <c r="C47" s="9"/>
      <c r="D47" s="9">
        <v>1922</v>
      </c>
      <c r="E47" s="9">
        <v>8834</v>
      </c>
      <c r="F47" s="9">
        <v>2081</v>
      </c>
      <c r="G47" s="9"/>
      <c r="H47" s="9">
        <v>22439</v>
      </c>
    </row>
    <row r="48" spans="1:8" x14ac:dyDescent="0.25">
      <c r="A48" t="s">
        <v>38</v>
      </c>
      <c r="B48" s="9">
        <v>16705</v>
      </c>
      <c r="C48" s="9">
        <v>22760</v>
      </c>
      <c r="D48" s="9">
        <v>6104</v>
      </c>
      <c r="E48" s="9">
        <v>7265</v>
      </c>
      <c r="F48" s="9">
        <v>15254</v>
      </c>
      <c r="G48" s="9"/>
      <c r="H48" s="9">
        <v>68088</v>
      </c>
    </row>
    <row r="49" spans="1:8" x14ac:dyDescent="0.25">
      <c r="A49" t="s">
        <v>39</v>
      </c>
      <c r="B49" s="9">
        <v>24862</v>
      </c>
      <c r="C49" s="9">
        <v>12929</v>
      </c>
      <c r="D49" s="9">
        <v>25458</v>
      </c>
      <c r="E49" s="9">
        <v>16080</v>
      </c>
      <c r="F49" s="9">
        <v>9744</v>
      </c>
      <c r="G49" s="9"/>
      <c r="H49" s="9">
        <v>89073</v>
      </c>
    </row>
    <row r="50" spans="1:8" x14ac:dyDescent="0.25">
      <c r="A50" t="s">
        <v>40</v>
      </c>
      <c r="B50" s="9">
        <v>17984</v>
      </c>
      <c r="C50" s="9">
        <v>11270</v>
      </c>
      <c r="D50" s="9">
        <v>16748</v>
      </c>
      <c r="E50" s="9">
        <v>11404</v>
      </c>
      <c r="F50" s="9">
        <v>13432</v>
      </c>
      <c r="G50" s="9"/>
      <c r="H50" s="9">
        <v>70838</v>
      </c>
    </row>
    <row r="51" spans="1:8" x14ac:dyDescent="0.25">
      <c r="A51" t="s">
        <v>41</v>
      </c>
      <c r="B51" s="9">
        <v>10108</v>
      </c>
      <c r="C51" s="9">
        <v>19552</v>
      </c>
      <c r="D51" s="9">
        <v>13439</v>
      </c>
      <c r="E51" s="9">
        <v>25973</v>
      </c>
      <c r="F51" s="9">
        <v>21680</v>
      </c>
      <c r="G51" s="9"/>
      <c r="H51" s="9">
        <v>90752</v>
      </c>
    </row>
    <row r="52" spans="1:8" x14ac:dyDescent="0.25">
      <c r="A52" t="s">
        <v>20</v>
      </c>
      <c r="B52" s="9">
        <v>146345</v>
      </c>
      <c r="C52" s="9">
        <v>106301</v>
      </c>
      <c r="D52" s="9">
        <v>101466</v>
      </c>
      <c r="E52" s="9">
        <v>96035</v>
      </c>
      <c r="F52" s="9">
        <v>85523</v>
      </c>
      <c r="G52" s="9">
        <v>2761</v>
      </c>
      <c r="H52" s="9">
        <v>538431</v>
      </c>
    </row>
  </sheetData>
  <pageMargins left="0.511811024" right="0.511811024" top="0.78740157499999996" bottom="0.78740157499999996" header="0.31496062000000002" footer="0.31496062000000002"/>
  <pageSetup paperSize="9"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Profª Katia Rodrigues</dc:creator>
  <cp:lastModifiedBy>Instrutor</cp:lastModifiedBy>
  <dcterms:created xsi:type="dcterms:W3CDTF">2024-10-01T23:15:55Z</dcterms:created>
  <dcterms:modified xsi:type="dcterms:W3CDTF">2026-08-06T20:09:52Z</dcterms:modified>
</cp:coreProperties>
</file>